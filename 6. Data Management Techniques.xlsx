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yushi\Desktop\Excel_for_DA\Course Material\"/>
    </mc:Choice>
  </mc:AlternateContent>
  <xr:revisionPtr revIDLastSave="0" documentId="13_ncr:1_{8F6D11F4-1E38-407E-876B-941CDF79D4CA}" xr6:coauthVersionLast="47" xr6:coauthVersionMax="47" xr10:uidLastSave="{00000000-0000-0000-0000-000000000000}"/>
  <bookViews>
    <workbookView xWindow="-120" yWindow="-120" windowWidth="20730" windowHeight="11160" firstSheet="4" activeTab="8" xr2:uid="{8EF7A65C-0E2A-4AC5-9370-230D8D39DBAA}"/>
  </bookViews>
  <sheets>
    <sheet name="Sorting" sheetId="1" r:id="rId1"/>
    <sheet name="Filters" sheetId="2" r:id="rId2"/>
    <sheet name="Advanced Filter 1" sheetId="10" r:id="rId3"/>
    <sheet name="Advanced Filter 2" sheetId="4" r:id="rId4"/>
    <sheet name="Advanced Filter 3" sheetId="5" r:id="rId5"/>
    <sheet name="Advanced Filter 4" sheetId="3" r:id="rId6"/>
    <sheet name="Advanced Filter 5" sheetId="7" r:id="rId7"/>
    <sheet name="Advanced Filter 6" sheetId="8" r:id="rId8"/>
    <sheet name="Tables" sheetId="9" r:id="rId9"/>
    <sheet name="Sheet2" sheetId="11" r:id="rId10"/>
  </sheets>
  <definedNames>
    <definedName name="_xlnm._FilterDatabase" localSheetId="2" hidden="1">'Advanced Filter 1'!$A$8:$D$18</definedName>
    <definedName name="_xlnm._FilterDatabase" localSheetId="3" hidden="1">'Advanced Filter 2'!$A$8:$D$18</definedName>
    <definedName name="_xlnm._FilterDatabase" localSheetId="4" hidden="1">'Advanced Filter 3'!$A$9:$D$19</definedName>
    <definedName name="_xlnm._FilterDatabase" localSheetId="5" hidden="1">'Advanced Filter 4'!$A$8:$D$18</definedName>
    <definedName name="_xlnm._FilterDatabase" localSheetId="6" hidden="1">'Advanced Filter 5'!$A$8:$D$18</definedName>
    <definedName name="_xlnm._FilterDatabase" localSheetId="7" hidden="1">'Advanced Filter 6'!$A$9:$D$19</definedName>
    <definedName name="_xlnm._FilterDatabase" localSheetId="1" hidden="1">Filters!$AX$4:$AX$43</definedName>
    <definedName name="_xlnm.Criteria" localSheetId="2">'Advanced Filter 1'!$A$3:$A$4</definedName>
    <definedName name="_xlnm.Criteria" localSheetId="3">'Advanced Filter 2'!$A$3:$D$4</definedName>
    <definedName name="_xlnm.Criteria" localSheetId="4">'Advanced Filter 3'!$A$3:$D$5</definedName>
    <definedName name="_xlnm.Criteria" localSheetId="5">'Advanced Filter 4'!$A$3:$A$4</definedName>
    <definedName name="_xlnm.Criteria" localSheetId="6">'Advanced Filter 5'!$A$3:$D$4</definedName>
    <definedName name="_xlnm.Criteria" localSheetId="7">'Advanced Filter 6'!$A$3:$D$5</definedName>
    <definedName name="_xlnm.Extract" localSheetId="2">'Advanced Filter 1'!$F$8:$I$8</definedName>
    <definedName name="_xlnm.Extract" localSheetId="3">'Advanced Filter 2'!$F$8:$I$8</definedName>
    <definedName name="_xlnm.Extract" localSheetId="4">'Advanced Filter 3'!$F$9:$I$9</definedName>
    <definedName name="_xlnm.Extract" localSheetId="5">'Advanced Filter 4'!#REF!</definedName>
    <definedName name="_xlnm.Extract" localSheetId="6">'Advanced Filter 5'!#REF!</definedName>
    <definedName name="_xlnm.Extract" localSheetId="7">'Advanced Filter 6'!#REF!</definedName>
    <definedName name="_xlnm.Extract" localSheetId="1">Filters!$BD$15</definedName>
    <definedName name="Slicer_Country">#N/A</definedName>
    <definedName name="Slicer_Month">#N/A</definedName>
    <definedName name="Slicer_Product">#N/A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1" i="9" l="1"/>
  <c r="F61" i="9"/>
  <c r="F10" i="8" a="1"/>
  <c r="F10" i="8" s="1"/>
  <c r="F9" i="7" a="1"/>
  <c r="F9" i="7" s="1"/>
  <c r="I16" i="8"/>
  <c r="H16" i="8"/>
  <c r="G16" i="8"/>
  <c r="F16" i="8"/>
  <c r="I15" i="8"/>
  <c r="H15" i="8"/>
  <c r="G15" i="8"/>
  <c r="F15" i="8"/>
  <c r="I14" i="8"/>
  <c r="H14" i="8"/>
  <c r="G14" i="8"/>
  <c r="F14" i="8"/>
  <c r="I13" i="8"/>
  <c r="H13" i="8"/>
  <c r="G13" i="8"/>
  <c r="F13" i="8"/>
  <c r="I12" i="8"/>
  <c r="H12" i="8"/>
  <c r="G12" i="8"/>
  <c r="F12" i="8"/>
  <c r="I11" i="8"/>
  <c r="H11" i="8"/>
  <c r="G11" i="8"/>
  <c r="F11" i="8"/>
  <c r="I10" i="8"/>
  <c r="H10" i="8"/>
  <c r="G10" i="8"/>
  <c r="I10" i="7"/>
  <c r="H10" i="7"/>
  <c r="G10" i="7"/>
  <c r="F10" i="7"/>
  <c r="I9" i="7"/>
  <c r="H9" i="7"/>
  <c r="G9"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<sst xmlns="http://schemas.openxmlformats.org/spreadsheetml/2006/main" count="1715" uniqueCount="285">
  <si>
    <t>1) Basic Sorting in Excel</t>
  </si>
  <si>
    <t>2) Multi Layer Sorting</t>
  </si>
  <si>
    <t>3) Sorting by Color</t>
  </si>
  <si>
    <t>4) Custom Sorting</t>
  </si>
  <si>
    <t>Department</t>
  </si>
  <si>
    <t>Emp Name</t>
  </si>
  <si>
    <t>Dt. Of Joining</t>
  </si>
  <si>
    <t>Salary</t>
  </si>
  <si>
    <t>Month</t>
  </si>
  <si>
    <t>Accounting</t>
  </si>
  <si>
    <t>Alicia A. Elmasian</t>
  </si>
  <si>
    <t>Marketing</t>
  </si>
  <si>
    <t>Ahlam Aby</t>
  </si>
  <si>
    <t>Human Resources</t>
  </si>
  <si>
    <t>Gopal</t>
  </si>
  <si>
    <t>Administration</t>
  </si>
  <si>
    <t>Manuel Steele</t>
  </si>
  <si>
    <t>Jan</t>
  </si>
  <si>
    <t>Benny Erwin</t>
  </si>
  <si>
    <t>R&amp;D</t>
  </si>
  <si>
    <t>Alexis Ripley</t>
  </si>
  <si>
    <t>Aniket</t>
  </si>
  <si>
    <t>Finance</t>
  </si>
  <si>
    <t>Matthew Tait</t>
  </si>
  <si>
    <t>Feb</t>
  </si>
  <si>
    <t>Brian Tomasevic</t>
  </si>
  <si>
    <t>Rahul</t>
  </si>
  <si>
    <t>Gabriel R. Self</t>
  </si>
  <si>
    <t>Mar</t>
  </si>
  <si>
    <t>Corine M. Henderson</t>
  </si>
  <si>
    <t>Alison Johnson</t>
  </si>
  <si>
    <t>Raju</t>
  </si>
  <si>
    <t>Steven  Bolin</t>
  </si>
  <si>
    <t>Apr</t>
  </si>
  <si>
    <t>Donna K. Bulgar</t>
  </si>
  <si>
    <t>Customer Support</t>
  </si>
  <si>
    <t>Alyssa Adefioye</t>
  </si>
  <si>
    <t>Pramod</t>
  </si>
  <si>
    <t>James Wilson</t>
  </si>
  <si>
    <t>May</t>
  </si>
  <si>
    <t>Eric W. Kilbride</t>
  </si>
  <si>
    <t>Ann Sharp</t>
  </si>
  <si>
    <t>Pandhari</t>
  </si>
  <si>
    <t xml:space="preserve">Yvette Hurtado </t>
  </si>
  <si>
    <t>Jun</t>
  </si>
  <si>
    <t>Heela Kraft</t>
  </si>
  <si>
    <t>Philip</t>
  </si>
  <si>
    <t>Julie Harken</t>
  </si>
  <si>
    <t>Jul</t>
  </si>
  <si>
    <t>John  Michael</t>
  </si>
  <si>
    <t>Benny Melendez</t>
  </si>
  <si>
    <t>Pavan</t>
  </si>
  <si>
    <t>Aug</t>
  </si>
  <si>
    <t>Kevin Nevandro</t>
  </si>
  <si>
    <t>Brian M Stucki</t>
  </si>
  <si>
    <t>Sonal</t>
  </si>
  <si>
    <t>Rikkie J Mahone</t>
  </si>
  <si>
    <t>Sep</t>
  </si>
  <si>
    <t>Micah Chokeir</t>
  </si>
  <si>
    <t>Awez</t>
  </si>
  <si>
    <t>Julie Yost</t>
  </si>
  <si>
    <t>Oct</t>
  </si>
  <si>
    <t>Ricardo Sherrell</t>
  </si>
  <si>
    <t>Bryan Anderson</t>
  </si>
  <si>
    <t>Umesh</t>
  </si>
  <si>
    <t>Erik G. Rinehart</t>
  </si>
  <si>
    <t>Nov</t>
  </si>
  <si>
    <t>Bryan Brier</t>
  </si>
  <si>
    <t>Ajinkya</t>
  </si>
  <si>
    <t>Michelle  Greenwell</t>
  </si>
  <si>
    <t>Dec</t>
  </si>
  <si>
    <t>Jena Coon</t>
  </si>
  <si>
    <t>Cassandra Perry</t>
  </si>
  <si>
    <t>Mahesh</t>
  </si>
  <si>
    <t>Jessica Rodriguez</t>
  </si>
  <si>
    <t>Christopher Battah</t>
  </si>
  <si>
    <t>Palak</t>
  </si>
  <si>
    <t>Jonathan C. Parnell</t>
  </si>
  <si>
    <t>Cindy Summerville</t>
  </si>
  <si>
    <t>Krisaundra Hightower</t>
  </si>
  <si>
    <t>Laura S Greenwell</t>
  </si>
  <si>
    <t>Cristhian Roth</t>
  </si>
  <si>
    <t>Richard  Garza</t>
  </si>
  <si>
    <t xml:space="preserve">Elena Miriam Hillen </t>
  </si>
  <si>
    <t>Rosa I. Peralta</t>
  </si>
  <si>
    <t>Elena Miriam Takahashi</t>
  </si>
  <si>
    <t xml:space="preserve">Ryan Kennedy </t>
  </si>
  <si>
    <t>Elena Miriam Woodburn</t>
  </si>
  <si>
    <t>Sara Webb</t>
  </si>
  <si>
    <t>Shireen Battah</t>
  </si>
  <si>
    <t>Ernest Talia</t>
  </si>
  <si>
    <t>Ernest Trent</t>
  </si>
  <si>
    <t>Grant Tomasevic</t>
  </si>
  <si>
    <t>Jacqueline N. Gappy</t>
  </si>
  <si>
    <t>Genevieve   Knapp</t>
  </si>
  <si>
    <t>Janalee Eggleston</t>
  </si>
  <si>
    <t>Katherine Battah</t>
  </si>
  <si>
    <t>Harman Abraha</t>
  </si>
  <si>
    <t>Melissa Torruella</t>
  </si>
  <si>
    <t>Micah Talia</t>
  </si>
  <si>
    <t xml:space="preserve">Ian Helmer </t>
  </si>
  <si>
    <t>Michelle  Shevlin</t>
  </si>
  <si>
    <t>Jacqueline N. Hildebrand</t>
  </si>
  <si>
    <t>Ryan  Mesko</t>
  </si>
  <si>
    <t>James Oberndorfer</t>
  </si>
  <si>
    <t>William Melendez</t>
  </si>
  <si>
    <t>Willow Nevandro</t>
  </si>
  <si>
    <t>Jeremiah De Grazia</t>
  </si>
  <si>
    <t>Jesse Wooten</t>
  </si>
  <si>
    <t>Joeanne Melendez</t>
  </si>
  <si>
    <t>Johnathan A Wilhite</t>
  </si>
  <si>
    <t>Joshua Daniel</t>
  </si>
  <si>
    <t>Kelley Reneau</t>
  </si>
  <si>
    <t>Joshua Fields</t>
  </si>
  <si>
    <t>Kelly Queen</t>
  </si>
  <si>
    <t>Joshua Johnson</t>
  </si>
  <si>
    <t>Laura Aguirre</t>
  </si>
  <si>
    <t xml:space="preserve">Julia  Hegwood </t>
  </si>
  <si>
    <t>Margaret Pavlovich</t>
  </si>
  <si>
    <t>Martie Elmasian</t>
  </si>
  <si>
    <t>Marylou M. Diaz</t>
  </si>
  <si>
    <t>Matthew H. Rios</t>
  </si>
  <si>
    <t>Matthew W Yamaguchi</t>
  </si>
  <si>
    <t>Natalie H. Woodford</t>
  </si>
  <si>
    <t>Rose Moreno</t>
  </si>
  <si>
    <t>Roshan Coon</t>
  </si>
  <si>
    <t>Stacy L Chen</t>
  </si>
  <si>
    <t>Tamara Pacheco</t>
  </si>
  <si>
    <t>Tony Merrick</t>
  </si>
  <si>
    <t>Moriel Caldwell</t>
  </si>
  <si>
    <t>Natalie H. Zeidell</t>
  </si>
  <si>
    <t>Rebecca L. Haight</t>
  </si>
  <si>
    <t>Rebecca Negrete</t>
  </si>
  <si>
    <t>Ricardo Bergman</t>
  </si>
  <si>
    <t>Tiffany M Blake</t>
  </si>
  <si>
    <t>Saif Perrine</t>
  </si>
  <si>
    <t>Saxton Peterson</t>
  </si>
  <si>
    <t>Stephen H. Thomas</t>
  </si>
  <si>
    <t>Basic Sorting</t>
  </si>
  <si>
    <t>Multi Layer Sorting</t>
  </si>
  <si>
    <t>Color Sorting</t>
  </si>
  <si>
    <t>Custom Sorting</t>
  </si>
  <si>
    <t>1) Basic Filter</t>
  </si>
  <si>
    <t>2) Filter by Color</t>
  </si>
  <si>
    <t>3) Filter by Wildcard</t>
  </si>
  <si>
    <t>4) Find Unique Values</t>
  </si>
  <si>
    <t>Dates</t>
  </si>
  <si>
    <t>Countries</t>
  </si>
  <si>
    <t>Sales</t>
  </si>
  <si>
    <t>District</t>
  </si>
  <si>
    <t>Country</t>
  </si>
  <si>
    <t>India</t>
  </si>
  <si>
    <t>Ahmednagar</t>
  </si>
  <si>
    <t>Indonesia</t>
  </si>
  <si>
    <t>Akola</t>
  </si>
  <si>
    <t>Iran</t>
  </si>
  <si>
    <t>Amravati</t>
  </si>
  <si>
    <t>Iraq</t>
  </si>
  <si>
    <t>Aurangabad</t>
  </si>
  <si>
    <t>Ireland</t>
  </si>
  <si>
    <t>Beed</t>
  </si>
  <si>
    <t>Israel</t>
  </si>
  <si>
    <t>Bhandara</t>
  </si>
  <si>
    <t>Italy</t>
  </si>
  <si>
    <t>Buldhana</t>
  </si>
  <si>
    <t>Jamaica</t>
  </si>
  <si>
    <t>Chandrapur</t>
  </si>
  <si>
    <t>Japan</t>
  </si>
  <si>
    <t>Dhule</t>
  </si>
  <si>
    <t>Jordan</t>
  </si>
  <si>
    <t>Gadchiroli</t>
  </si>
  <si>
    <t>Kazakhstan</t>
  </si>
  <si>
    <t>Gondia</t>
  </si>
  <si>
    <t>Kenya</t>
  </si>
  <si>
    <t>Hingoli</t>
  </si>
  <si>
    <t>Kiribati</t>
  </si>
  <si>
    <t>Jalgaon</t>
  </si>
  <si>
    <t>Kosovo</t>
  </si>
  <si>
    <t>Jalna</t>
  </si>
  <si>
    <t>Kuwait</t>
  </si>
  <si>
    <t>Kolhapur</t>
  </si>
  <si>
    <t>Kyrgyzstan</t>
  </si>
  <si>
    <t>Latur</t>
  </si>
  <si>
    <t>Laos</t>
  </si>
  <si>
    <t>Mumbai City</t>
  </si>
  <si>
    <t>Latvia</t>
  </si>
  <si>
    <t>Mumbai suburban</t>
  </si>
  <si>
    <t>Lebanon</t>
  </si>
  <si>
    <t>Nanded</t>
  </si>
  <si>
    <t>Lesotho</t>
  </si>
  <si>
    <t>Nandurbar</t>
  </si>
  <si>
    <t>Liberia</t>
  </si>
  <si>
    <t>Nagpur</t>
  </si>
  <si>
    <t>Libya</t>
  </si>
  <si>
    <t>Nashik</t>
  </si>
  <si>
    <t>Liechtenstein</t>
  </si>
  <si>
    <t>Osmanabad</t>
  </si>
  <si>
    <t>Lithuania</t>
  </si>
  <si>
    <t>Palghar</t>
  </si>
  <si>
    <t>Luxembourg</t>
  </si>
  <si>
    <t>Parbhani</t>
  </si>
  <si>
    <t>Madagascar</t>
  </si>
  <si>
    <t>Pune</t>
  </si>
  <si>
    <t>Malawi</t>
  </si>
  <si>
    <t>Raigad</t>
  </si>
  <si>
    <t>Malaysia</t>
  </si>
  <si>
    <t>Ratnagiri</t>
  </si>
  <si>
    <t>Maldives</t>
  </si>
  <si>
    <t>Sangli</t>
  </si>
  <si>
    <t>Mali</t>
  </si>
  <si>
    <t>Satara</t>
  </si>
  <si>
    <t>Malta</t>
  </si>
  <si>
    <t>Sindhudurg</t>
  </si>
  <si>
    <t>Marshall Islands</t>
  </si>
  <si>
    <t>Solapur</t>
  </si>
  <si>
    <t>Mauritania</t>
  </si>
  <si>
    <t>Thane</t>
  </si>
  <si>
    <t>Mauritius</t>
  </si>
  <si>
    <t>Wardha</t>
  </si>
  <si>
    <t>Mexico</t>
  </si>
  <si>
    <t>Washim</t>
  </si>
  <si>
    <t>Micronesia</t>
  </si>
  <si>
    <t>Yavatmal</t>
  </si>
  <si>
    <t>Moldova</t>
  </si>
  <si>
    <t>Monaco</t>
  </si>
  <si>
    <t>Mongolia</t>
  </si>
  <si>
    <t>CRITERIA AREA</t>
  </si>
  <si>
    <t>Product</t>
  </si>
  <si>
    <t>DATA SET</t>
  </si>
  <si>
    <t>Custard Powder</t>
  </si>
  <si>
    <t>Baking Powder</t>
  </si>
  <si>
    <t>Cornflour</t>
  </si>
  <si>
    <t>Vegetarian Jelly</t>
  </si>
  <si>
    <t>Cremelle Pudding Mix</t>
  </si>
  <si>
    <t>Freeze Ice Cream Mix</t>
  </si>
  <si>
    <t>Cocoa Powder</t>
  </si>
  <si>
    <t>Icing Sugar</t>
  </si>
  <si>
    <t>Vanilla Powder</t>
  </si>
  <si>
    <t>Sweet Corn kernels</t>
  </si>
  <si>
    <t>&gt;1000</t>
  </si>
  <si>
    <t>Ivory Coast (Côte d'Ivoire)</t>
  </si>
  <si>
    <t>FILTER BY FUNCTION</t>
  </si>
  <si>
    <t>FILTER BY AND CONDITION</t>
  </si>
  <si>
    <t>FILTER BY OR CONDITION</t>
  </si>
  <si>
    <t>Date</t>
  </si>
  <si>
    <t>Qty</t>
  </si>
  <si>
    <t>Value</t>
  </si>
  <si>
    <t>Mustard Powder</t>
  </si>
  <si>
    <t>Prepared Mustard</t>
  </si>
  <si>
    <t>Mushroom Pickle</t>
  </si>
  <si>
    <t>Mayonnaise</t>
  </si>
  <si>
    <t>White Oats</t>
  </si>
  <si>
    <t>St. Dalfour Fruit Preserve</t>
  </si>
  <si>
    <t>Glucovin-D</t>
  </si>
  <si>
    <t>Canned Mushrooms</t>
  </si>
  <si>
    <t>Tutti Fruiti</t>
  </si>
  <si>
    <t>Continental Sauces</t>
  </si>
  <si>
    <t>Chinese Sauces</t>
  </si>
  <si>
    <t>Chilli Vinegar</t>
  </si>
  <si>
    <t>Montenegro</t>
  </si>
  <si>
    <t>Morocco</t>
  </si>
  <si>
    <t>Mozambique</t>
  </si>
  <si>
    <t>Myanmar (Burma)</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</si>
  <si>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</si>
  <si>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</si>
  <si>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</si>
  <si>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</si>
  <si>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</si>
  <si>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</si>
  <si>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</si>
  <si>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</si>
  <si>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</si>
  <si>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</si>
  <si>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</si>
  <si>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</si>
  <si>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</si>
  <si>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</si>
  <si>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</si>
  <si>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</si>
  <si>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Basic Filtering</t>
  </si>
  <si>
    <t>Filter by Color</t>
  </si>
  <si>
    <t>Filter by Wildcard</t>
  </si>
  <si>
    <t>Find Unique Values</t>
  </si>
  <si>
    <t>July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</si>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</sst>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F800]dddd\,\ mmmm\ dd\,\ yyyy"/>
  </numFmts>
  <fonts count="10" x14ac:knownFonts="1">
    <font>
      <sz val="11"/>
      <color theme="1"/>
      <name val="Aptos Narrow"/>
      <family val="2"/>
      <scheme val="minor"/>
    </font>
    <font>
      <sz val="11"/>
      <color theme="0"/>
      <name val="Aptos Narrow"/>
      <family val="2"/>
      <scheme val="minor"/>
    </font>
    <font>
      <sz val="12"/>
      <color theme="0"/>
      <name val="Segoe UI"/>
      <family val="2"/>
    </font>
    <font>
      <sz val="12"/>
      <color theme="1"/>
      <name val="Segoe UI"/>
      <family val="2"/>
    </font>
    <font>
      <sz val="12"/>
      <color rgb="FF0070C0"/>
      <name val="Segoe UI"/>
      <family val="2"/>
    </font>
    <font>
      <sz val="12"/>
      <name val="Segoe UI"/>
      <family val="2"/>
    </font>
    <font>
      <sz val="12"/>
      <color rgb="FFFF0000"/>
      <name val="Segoe UI"/>
      <family val="2"/>
    </font>
    <font>
      <sz val="14"/>
      <color theme="0"/>
      <name val="Segoe UI"/>
      <family val="2"/>
    </font>
    <font>
      <sz val="11"/>
      <color theme="0"/>
      <name val="Segoe UI"/>
      <family val="2"/>
    </font>
    <font>
      <sz val="8"/>
      <name val="Aptos Narrow"/>
      <family val="2"/>
      <scheme val="minor"/>
    </font>
  </fonts>
  <fills count="11">
    <fill>
      <patternFill patternType="none"/>
    </fill>
    <fill>
      <patternFill patternType="gray125"/>
    </fill>
    <fill>
      <patternFill patternType="solid">
        <fgColor theme="8"/>
      </patternFill>
    </fill>
    <fill>
      <patternFill patternType="solid">
        <fgColor rgb="FF00206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5"/>
        <bgColor indexed="64"/>
      </patternFill>
    </fill>
    <fill>
      <patternFill patternType="solid">
        <fgColor rgb="FF002060"/>
        <bgColor theme="1"/>
      </patternFill>
    </fill>
    <fill>
      <patternFill patternType="solid">
        <fgColor theme="0"/>
        <bgColor indexed="64"/>
      </patternFill>
    </fill>
  </fills>
  <borders count="18">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1"/>
      </bottom>
      <diagonal/>
    </border>
    <border>
      <left style="thin">
        <color indexed="64"/>
      </left>
      <right/>
      <top/>
      <bottom/>
      <diagonal/>
    </border>
    <border>
      <left/>
      <right style="thin">
        <color theme="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2" borderId="0" applyNumberFormat="0" applyBorder="0" applyAlignment="0" applyProtection="0"/>
  </cellStyleXfs>
  <cellXfs count="65">
    <xf numFmtId="0" fontId="0" fillId="0" borderId="0" xfId="0"/>
    <xf numFmtId="0" fontId="3" fillId="0" borderId="0" xfId="0" applyFont="1"/>
    <xf numFmtId="0" fontId="2" fillId="3" borderId="4" xfId="1" applyFont="1" applyFill="1" applyBorder="1"/>
    <xf numFmtId="0" fontId="2" fillId="3" borderId="4" xfId="1" applyFont="1" applyFill="1" applyBorder="1" applyAlignment="1">
      <alignment horizontal="center"/>
    </xf>
    <xf numFmtId="0" fontId="3" fillId="0" borderId="4" xfId="0" applyFont="1" applyBorder="1"/>
    <xf numFmtId="14" fontId="3" fillId="0" borderId="4" xfId="0" applyNumberFormat="1" applyFont="1" applyBorder="1" applyAlignment="1">
      <alignment horizontal="center"/>
    </xf>
    <xf numFmtId="0" fontId="3" fillId="0" borderId="4" xfId="0" applyFont="1" applyBorder="1" applyAlignment="1">
      <alignment horizontal="center"/>
    </xf>
    <xf numFmtId="0" fontId="3" fillId="4" borderId="4" xfId="0" applyFont="1" applyFill="1" applyBorder="1"/>
    <xf numFmtId="14" fontId="4" fillId="0" borderId="4" xfId="0" applyNumberFormat="1" applyFont="1" applyBorder="1" applyAlignment="1">
      <alignment horizontal="center"/>
    </xf>
    <xf numFmtId="0" fontId="5" fillId="0" borderId="4" xfId="0" applyFont="1" applyBorder="1"/>
    <xf numFmtId="164" fontId="5" fillId="0" borderId="4" xfId="0" applyNumberFormat="1" applyFont="1" applyBorder="1" applyAlignment="1">
      <alignment horizontal="center"/>
    </xf>
    <xf numFmtId="0" fontId="5" fillId="0" borderId="4" xfId="0" applyFont="1" applyBorder="1" applyAlignment="1">
      <alignment horizontal="center"/>
    </xf>
    <xf numFmtId="14" fontId="6" fillId="0" borderId="4" xfId="0" applyNumberFormat="1" applyFont="1" applyBorder="1" applyAlignment="1">
      <alignment horizontal="center"/>
    </xf>
    <xf numFmtId="0" fontId="3" fillId="5" borderId="4" xfId="0" applyFont="1" applyFill="1" applyBorder="1"/>
    <xf numFmtId="0" fontId="3" fillId="6" borderId="4" xfId="0" applyFont="1" applyFill="1" applyBorder="1"/>
    <xf numFmtId="0" fontId="0" fillId="0" borderId="0" xfId="0" applyAlignment="1">
      <alignment horizontal="center" vertical="center"/>
    </xf>
    <xf numFmtId="0" fontId="2" fillId="3" borderId="8" xfId="1" applyFont="1" applyFill="1" applyBorder="1" applyAlignment="1">
      <alignment horizontal="center" vertical="center"/>
    </xf>
    <xf numFmtId="0" fontId="2" fillId="3" borderId="4" xfId="1" applyFont="1" applyFill="1" applyBorder="1" applyAlignment="1">
      <alignment horizontal="center" vertical="center"/>
    </xf>
    <xf numFmtId="165" fontId="5" fillId="0" borderId="8" xfId="0" applyNumberFormat="1" applyFont="1" applyBorder="1"/>
    <xf numFmtId="0" fontId="3" fillId="0" borderId="4" xfId="0" applyFont="1" applyBorder="1" applyAlignment="1">
      <alignment horizontal="center" vertical="center"/>
    </xf>
    <xf numFmtId="0" fontId="3" fillId="7" borderId="4" xfId="0" applyFont="1" applyFill="1" applyBorder="1"/>
    <xf numFmtId="0" fontId="3" fillId="8" borderId="4" xfId="0" applyFont="1" applyFill="1" applyBorder="1"/>
    <xf numFmtId="0" fontId="8" fillId="0" borderId="9" xfId="0" applyFont="1" applyBorder="1" applyAlignment="1">
      <alignment horizontal="center"/>
    </xf>
    <xf numFmtId="0" fontId="3" fillId="0" borderId="8" xfId="0" applyFont="1" applyBorder="1"/>
    <xf numFmtId="0" fontId="2" fillId="0" borderId="8" xfId="1" applyFont="1" applyFill="1" applyBorder="1"/>
    <xf numFmtId="0" fontId="3" fillId="0" borderId="8" xfId="0" applyFont="1" applyBorder="1" applyAlignment="1">
      <alignment horizontal="center"/>
    </xf>
    <xf numFmtId="0" fontId="2" fillId="0" borderId="8" xfId="1" applyFont="1" applyFill="1" applyBorder="1" applyAlignment="1">
      <alignment horizontal="center"/>
    </xf>
    <xf numFmtId="0" fontId="2" fillId="0" borderId="0" xfId="1" applyFont="1" applyFill="1" applyBorder="1"/>
    <xf numFmtId="0" fontId="2" fillId="0" borderId="0" xfId="1" applyFont="1" applyFill="1" applyBorder="1" applyAlignment="1">
      <alignment horizontal="center"/>
    </xf>
    <xf numFmtId="0" fontId="3" fillId="0" borderId="0" xfId="0" applyFont="1" applyAlignment="1">
      <alignment horizontal="center"/>
    </xf>
    <xf numFmtId="0" fontId="3" fillId="0" borderId="8" xfId="1" applyFont="1" applyFill="1" applyBorder="1" applyAlignment="1">
      <alignment horizontal="center"/>
    </xf>
    <xf numFmtId="0" fontId="2" fillId="0" borderId="0" xfId="1" applyFont="1" applyFill="1"/>
    <xf numFmtId="0" fontId="2" fillId="0" borderId="0" xfId="1" applyFont="1" applyFill="1" applyAlignment="1">
      <alignment horizontal="center"/>
    </xf>
    <xf numFmtId="0" fontId="2" fillId="3" borderId="9" xfId="0" applyFont="1" applyFill="1" applyBorder="1"/>
    <xf numFmtId="0" fontId="2" fillId="9" borderId="8" xfId="0" applyFont="1" applyFill="1" applyBorder="1"/>
    <xf numFmtId="0" fontId="2" fillId="9" borderId="8" xfId="0" applyFont="1" applyFill="1" applyBorder="1" applyAlignment="1">
      <alignment horizontal="center" vertical="center"/>
    </xf>
    <xf numFmtId="14" fontId="3" fillId="0" borderId="8" xfId="0" applyNumberFormat="1" applyFont="1" applyBorder="1"/>
    <xf numFmtId="0" fontId="3" fillId="0" borderId="8" xfId="0" applyFont="1" applyBorder="1" applyAlignment="1">
      <alignment horizontal="center" vertical="center"/>
    </xf>
    <xf numFmtId="14" fontId="3" fillId="0" borderId="7" xfId="0" applyNumberFormat="1" applyFont="1" applyBorder="1"/>
    <xf numFmtId="0" fontId="3" fillId="0" borderId="5" xfId="0" applyFont="1" applyBorder="1" applyAlignment="1">
      <alignment horizontal="center" vertical="center"/>
    </xf>
    <xf numFmtId="0" fontId="2" fillId="9" borderId="12" xfId="0" applyFont="1" applyFill="1" applyBorder="1"/>
    <xf numFmtId="0" fontId="2" fillId="9" borderId="13" xfId="0" applyFont="1" applyFill="1" applyBorder="1"/>
    <xf numFmtId="0" fontId="2" fillId="9" borderId="13" xfId="0" applyFont="1" applyFill="1" applyBorder="1" applyAlignment="1">
      <alignment horizontal="center" vertical="center"/>
    </xf>
    <xf numFmtId="0" fontId="2" fillId="9" borderId="14" xfId="0" applyFont="1" applyFill="1" applyBorder="1" applyAlignment="1">
      <alignment horizontal="center" vertical="center"/>
    </xf>
    <xf numFmtId="14" fontId="3" fillId="0" borderId="15" xfId="0" applyNumberFormat="1" applyFont="1" applyBorder="1"/>
    <xf numFmtId="0" fontId="3" fillId="0" borderId="16" xfId="0" applyFont="1" applyBorder="1"/>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5" xfId="0" applyFont="1" applyBorder="1"/>
    <xf numFmtId="0" fontId="3" fillId="0" borderId="0" xfId="0" applyFont="1" applyBorder="1"/>
    <xf numFmtId="0" fontId="3" fillId="10" borderId="0" xfId="0" applyFont="1" applyFill="1" applyBorder="1"/>
    <xf numFmtId="0" fontId="2" fillId="10" borderId="0" xfId="1" applyFont="1" applyFill="1" applyBorder="1" applyAlignment="1">
      <alignment horizontal="center" vertical="center"/>
    </xf>
    <xf numFmtId="0" fontId="2" fillId="10" borderId="0" xfId="1" applyFont="1" applyFill="1" applyBorder="1"/>
    <xf numFmtId="0" fontId="2" fillId="10" borderId="0" xfId="1" applyFont="1" applyFill="1" applyBorder="1" applyAlignment="1">
      <alignment horizontal="center"/>
    </xf>
    <xf numFmtId="0" fontId="3" fillId="10" borderId="0" xfId="0" applyFont="1" applyFill="1" applyBorder="1" applyAlignment="1">
      <alignment horizontal="center"/>
    </xf>
    <xf numFmtId="0" fontId="2" fillId="3" borderId="1" xfId="1" applyFont="1" applyFill="1" applyBorder="1" applyAlignment="1">
      <alignment horizontal="center"/>
    </xf>
    <xf numFmtId="0" fontId="2" fillId="3" borderId="2" xfId="1" applyFont="1" applyFill="1" applyBorder="1" applyAlignment="1">
      <alignment horizontal="center"/>
    </xf>
    <xf numFmtId="0" fontId="2" fillId="3" borderId="3" xfId="1" applyFont="1" applyFill="1" applyBorder="1" applyAlignment="1">
      <alignment horizontal="center"/>
    </xf>
    <xf numFmtId="0" fontId="7" fillId="3" borderId="5" xfId="1" applyFont="1" applyFill="1" applyBorder="1" applyAlignment="1">
      <alignment horizontal="center" vertical="center"/>
    </xf>
    <xf numFmtId="0" fontId="7" fillId="3" borderId="6" xfId="1" applyFont="1" applyFill="1" applyBorder="1" applyAlignment="1">
      <alignment horizontal="center" vertical="center"/>
    </xf>
    <xf numFmtId="0" fontId="7" fillId="3" borderId="7" xfId="1" applyFont="1" applyFill="1" applyBorder="1" applyAlignment="1">
      <alignment horizontal="center" vertical="center"/>
    </xf>
    <xf numFmtId="0" fontId="2" fillId="3" borderId="10" xfId="1" applyFont="1" applyFill="1" applyBorder="1" applyAlignment="1">
      <alignment horizontal="center" vertical="center"/>
    </xf>
    <xf numFmtId="0" fontId="2" fillId="3" borderId="0" xfId="1" applyFont="1" applyFill="1" applyBorder="1" applyAlignment="1">
      <alignment horizontal="center" vertical="center"/>
    </xf>
    <xf numFmtId="0" fontId="2" fillId="3" borderId="11" xfId="1" applyFont="1" applyFill="1" applyBorder="1" applyAlignment="1">
      <alignment horizontal="center" vertical="center"/>
    </xf>
    <xf numFmtId="0" fontId="8" fillId="3" borderId="9" xfId="0" applyFont="1" applyFill="1" applyBorder="1" applyAlignment="1">
      <alignment horizontal="center"/>
    </xf>
  </cellXfs>
  <cellStyles count="2">
    <cellStyle name="Accent5" xfId="1" builtinId="45"/>
    <cellStyle name="Normal" xfId="0" builtinId="0"/>
  </cellStyles>
  <dxfs count="26">
    <dxf>
      <font>
        <b val="0"/>
        <i val="0"/>
        <strike val="0"/>
        <condense val="0"/>
        <extend val="0"/>
        <outline val="0"/>
        <shadow val="0"/>
        <u val="none"/>
        <vertAlign val="baseline"/>
        <sz val="12"/>
        <color theme="1"/>
        <name val="Segoe UI"/>
        <family val="2"/>
        <scheme val="none"/>
      </font>
      <numFmt numFmtId="19" formatCode="m/d/yyyy"/>
      <border diagonalUp="0" diagonalDown="0" outline="0">
        <left/>
        <right style="thin">
          <color indexed="64"/>
        </right>
        <top style="thin">
          <color indexed="64"/>
        </top>
        <bottom/>
      </border>
    </dxf>
    <dxf>
      <font>
        <b val="0"/>
        <i val="0"/>
        <strike val="0"/>
        <condense val="0"/>
        <extend val="0"/>
        <outline val="0"/>
        <shadow val="0"/>
        <u val="none"/>
        <vertAlign val="baseline"/>
        <sz val="12"/>
        <color theme="1"/>
        <name val="Segoe UI"/>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Segoe UI"/>
        <family val="2"/>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Segoe UI"/>
        <family val="2"/>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Segoe UI"/>
        <family val="2"/>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Segoe UI"/>
        <family val="2"/>
        <scheme val="none"/>
      </font>
      <numFmt numFmtId="166" formatCode="dd/mm/yy"/>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Segoe UI"/>
        <family val="2"/>
        <scheme val="none"/>
      </font>
      <fill>
        <patternFill patternType="solid">
          <fgColor theme="1"/>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Segoe UI"/>
        <family val="2"/>
        <scheme val="none"/>
      </font>
      <numFmt numFmtId="166" formatCode="dd/mm/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0"/>
        <name val="Segoe UI"/>
        <family val="2"/>
        <scheme val="none"/>
      </font>
      <fill>
        <patternFill patternType="solid">
          <fgColor theme="1"/>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FBCAFAD5-1E55-44B3-9FE9-A2DE5D9F6E0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19</xdr:col>
      <xdr:colOff>0</xdr:colOff>
      <xdr:row>0</xdr:row>
      <xdr:rowOff>62192</xdr:rowOff>
    </xdr:from>
    <xdr:to>
      <xdr:col>19</xdr:col>
      <xdr:colOff>44823</xdr:colOff>
      <xdr:row>2</xdr:row>
      <xdr:rowOff>119342</xdr:rowOff>
    </xdr:to>
    <xdr:sp macro="" textlink="">
      <xdr:nvSpPr>
        <xdr:cNvPr id="2" name="Rectangle: Rounded Corners 1">
          <a:extLst>
            <a:ext uri="{FF2B5EF4-FFF2-40B4-BE49-F238E27FC236}">
              <a16:creationId xmlns:a16="http://schemas.microsoft.com/office/drawing/2014/main" id="{904C3CA8-634A-4617-ADEC-F1AA0076C1F1}"/>
            </a:ext>
          </a:extLst>
        </xdr:cNvPr>
        <xdr:cNvSpPr/>
      </xdr:nvSpPr>
      <xdr:spPr>
        <a:xfrm>
          <a:off x="11109960" y="62192"/>
          <a:ext cx="44823" cy="54483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cap="none" spc="0">
              <a:ln w="0"/>
              <a:solidFill>
                <a:schemeClr val="tx1"/>
              </a:solidFill>
              <a:effectLst>
                <a:outerShdw blurRad="38100" dist="19050" dir="2700000" algn="tl" rotWithShape="0">
                  <a:schemeClr val="dk1">
                    <a:alpha val="40000"/>
                  </a:schemeClr>
                </a:outerShdw>
              </a:effectLst>
            </a:rPr>
            <a:t>Data Arrangement based on Number</a:t>
          </a:r>
        </a:p>
      </xdr:txBody>
    </xdr:sp>
    <xdr:clientData/>
  </xdr:twoCellAnchor>
  <xdr:twoCellAnchor>
    <xdr:from>
      <xdr:col>19</xdr:col>
      <xdr:colOff>0</xdr:colOff>
      <xdr:row>0</xdr:row>
      <xdr:rowOff>57150</xdr:rowOff>
    </xdr:from>
    <xdr:to>
      <xdr:col>19</xdr:col>
      <xdr:colOff>0</xdr:colOff>
      <xdr:row>2</xdr:row>
      <xdr:rowOff>114300</xdr:rowOff>
    </xdr:to>
    <xdr:sp macro="" textlink="">
      <xdr:nvSpPr>
        <xdr:cNvPr id="3" name="Rectangle: Rounded Corners 2">
          <a:extLst>
            <a:ext uri="{FF2B5EF4-FFF2-40B4-BE49-F238E27FC236}">
              <a16:creationId xmlns:a16="http://schemas.microsoft.com/office/drawing/2014/main" id="{29831309-B602-485C-86B6-8409A4B326CC}"/>
            </a:ext>
          </a:extLst>
        </xdr:cNvPr>
        <xdr:cNvSpPr/>
      </xdr:nvSpPr>
      <xdr:spPr>
        <a:xfrm>
          <a:off x="11109960" y="57150"/>
          <a:ext cx="0" cy="54483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2400" b="0" cap="none" spc="0">
              <a:ln w="0"/>
              <a:solidFill>
                <a:schemeClr val="tx1"/>
              </a:solidFill>
              <a:effectLst>
                <a:outerShdw blurRad="38100" dist="19050" dir="2700000" algn="tl" rotWithShape="0">
                  <a:schemeClr val="dk1">
                    <a:alpha val="40000"/>
                  </a:schemeClr>
                </a:outerShdw>
              </a:effectLst>
            </a:rPr>
            <a:t>Data Arrangement based on Date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183874</xdr:colOff>
      <xdr:row>0</xdr:row>
      <xdr:rowOff>51351</xdr:rowOff>
    </xdr:from>
    <xdr:to>
      <xdr:col>7</xdr:col>
      <xdr:colOff>396240</xdr:colOff>
      <xdr:row>9</xdr:row>
      <xdr:rowOff>8283</xdr:rowOff>
    </xdr:to>
    <mc:AlternateContent xmlns:mc="http://schemas.openxmlformats.org/markup-compatibility/2006">
      <mc:Choice xmlns:sle15="http://schemas.microsoft.com/office/drawing/2012/slicer" Requires="sle15">
        <xdr:graphicFrame macro="">
          <xdr:nvGraphicFramePr>
            <xdr:cNvPr id="2" name="Month">
              <a:extLst>
                <a:ext uri="{FF2B5EF4-FFF2-40B4-BE49-F238E27FC236}">
                  <a16:creationId xmlns:a16="http://schemas.microsoft.com/office/drawing/2014/main" id="{1A50253D-995D-6918-90AF-CF7AD3A115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234570" y="51351"/>
              <a:ext cx="1463040" cy="189506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183873</xdr:colOff>
      <xdr:row>9</xdr:row>
      <xdr:rowOff>92765</xdr:rowOff>
    </xdr:from>
    <xdr:to>
      <xdr:col>9</xdr:col>
      <xdr:colOff>190500</xdr:colOff>
      <xdr:row>21</xdr:row>
      <xdr:rowOff>165653</xdr:rowOff>
    </xdr:to>
    <mc:AlternateContent xmlns:mc="http://schemas.openxmlformats.org/markup-compatibility/2006">
      <mc:Choice xmlns:sle15="http://schemas.microsoft.com/office/drawing/2012/slicer" Requires="sle15">
        <xdr:graphicFrame macro="">
          <xdr:nvGraphicFramePr>
            <xdr:cNvPr id="3" name="Country">
              <a:extLst>
                <a:ext uri="{FF2B5EF4-FFF2-40B4-BE49-F238E27FC236}">
                  <a16:creationId xmlns:a16="http://schemas.microsoft.com/office/drawing/2014/main" id="{1DF5260C-636B-B50A-2748-0F7C9B71E2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234569" y="2030895"/>
              <a:ext cx="3758648" cy="265706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578539</xdr:colOff>
      <xdr:row>0</xdr:row>
      <xdr:rowOff>51352</xdr:rowOff>
    </xdr:from>
    <xdr:to>
      <xdr:col>9</xdr:col>
      <xdr:colOff>173935</xdr:colOff>
      <xdr:row>9</xdr:row>
      <xdr:rowOff>0</xdr:rowOff>
    </xdr:to>
    <mc:AlternateContent xmlns:mc="http://schemas.openxmlformats.org/markup-compatibility/2006">
      <mc:Choice xmlns:sle15="http://schemas.microsoft.com/office/drawing/2012/slicer" Requires="sle15">
        <xdr:graphicFrame macro="">
          <xdr:nvGraphicFramePr>
            <xdr:cNvPr id="4" name="Product">
              <a:extLst>
                <a:ext uri="{FF2B5EF4-FFF2-40B4-BE49-F238E27FC236}">
                  <a16:creationId xmlns:a16="http://schemas.microsoft.com/office/drawing/2014/main" id="{573A5243-70EC-7707-72C0-9FB3EE511A4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879909" y="51352"/>
              <a:ext cx="2096743" cy="188677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8CA78A-7CB0-459D-B2CE-68769755A4A5}" sourceName="Month">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1F12DB3-F9EC-4B6B-9BEF-92EB9B842C51}" sourceName="Countr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712190F-1A3A-44AE-8A9A-0A510E187D8F}"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4486649-08B7-44E5-AB76-4D7DFA4CF8EF}" cache="Slicer_Month" caption="Month" style="SlicerStyleLight5" rowHeight="274320"/>
  <slicer name="Country" xr10:uid="{102091F2-C024-4B69-9FE7-52EFD4A8382D}" cache="Slicer_Country" caption="Country" columnCount="3" style="SlicerStyleDark1" rowHeight="257175"/>
  <slicer name="Product" xr10:uid="{DAFF5025-B099-4D24-9D1E-C4A06D50BB71}" cache="Slicer_Product" caption="Product" startItem="6" columnCount="2" style="SlicerStyleOth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97D050-6864-4F80-823B-13DBC29EDCA4}" name="MyTable1" displayName="MyTable1" ref="O1:T53" totalsRowShown="0" headerRowDxfId="25" headerRowBorderDxfId="24" tableBorderDxfId="23" totalsRowBorderDxfId="22">
  <autoFilter ref="O1:T53" xr:uid="{1297D050-6864-4F80-823B-13DBC29EDCA4}"/>
  <tableColumns count="6">
    <tableColumn id="1" xr3:uid="{7387064A-C68F-4EC4-825C-9C5DE7FCD4CE}" name="Date" dataDxfId="21"/>
    <tableColumn id="2" xr3:uid="{C7D4AFBF-D870-41A8-863A-A3196A5546EA}" name="Country" dataDxfId="20"/>
    <tableColumn id="3" xr3:uid="{EC905CE1-4E7B-47C5-A164-3747BC2D6E3E}" name="Product" dataDxfId="19"/>
    <tableColumn id="4" xr3:uid="{0530614A-C65A-4FE6-94B0-2DB979B7EC28}" name="Month" dataDxfId="18"/>
    <tableColumn id="5" xr3:uid="{E7F86EBA-4762-4D2C-B076-919BDF8655B8}" name="Qty" dataDxfId="17"/>
    <tableColumn id="6" xr3:uid="{CD3FD686-47AE-42E9-BC48-78FAC7791CF3}" name="Value"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F2D6C2-A42B-424A-9C36-995F8BC25E80}" name="Table1" displayName="Table1" ref="A1:F61" headerRowDxfId="15" headerRowBorderDxfId="14" tableBorderDxfId="13" totalsRowBorderDxfId="12">
  <autoFilter ref="A1:F61" xr:uid="{E8F2D6C2-A42B-424A-9C36-995F8BC25E80}"/>
  <tableColumns count="6">
    <tableColumn id="1" xr3:uid="{E1813811-0DF7-49D3-87A4-B9196807FACD}" name="Date" dataDxfId="11" totalsRowDxfId="0"/>
    <tableColumn id="2" xr3:uid="{B5845EF4-1A7A-4EC1-B10D-B82DC7269D56}" name="Country" dataDxfId="10" totalsRowDxfId="1"/>
    <tableColumn id="3" xr3:uid="{88E7DFC8-230E-45E6-96EC-443C3CA1C66E}" name="Product" dataDxfId="9" totalsRowDxfId="2"/>
    <tableColumn id="4" xr3:uid="{F6BD126C-CE94-43E0-A7EF-0054C1AB1D83}" name="Month" dataDxfId="8" totalsRowDxfId="3"/>
    <tableColumn id="5" xr3:uid="{DF37F035-3417-4FF7-93DE-A5A78AA2D1A3}" name="Qty" dataDxfId="7" totalsRowDxfId="4"/>
    <tableColumn id="6" xr3:uid="{9A353AFC-9AF8-49DD-94F7-A618FDA5BC3A}" name="Value" totalsRowFunction="sum" dataDxfId="6" totalsRow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C870-6052-476F-9BD9-19AC52DABD17}">
  <dimension ref="A2:AU100"/>
  <sheetViews>
    <sheetView showGridLines="0" zoomScale="130" zoomScaleNormal="130" workbookViewId="0">
      <selection activeCell="A2" sqref="A2:A5"/>
    </sheetView>
  </sheetViews>
  <sheetFormatPr defaultColWidth="18" defaultRowHeight="17.25" x14ac:dyDescent="0.3"/>
  <cols>
    <col min="1" max="1" width="35" style="1" customWidth="1"/>
    <col min="2" max="14" width="18" style="1"/>
    <col min="20" max="23" width="18" style="1"/>
    <col min="24" max="24" width="25.5703125" style="1" bestFit="1" customWidth="1"/>
    <col min="25" max="16384" width="18" style="1"/>
  </cols>
  <sheetData>
    <row r="2" spans="1:47" x14ac:dyDescent="0.3">
      <c r="A2" s="2" t="s">
        <v>138</v>
      </c>
      <c r="K2" s="55" t="s">
        <v>0</v>
      </c>
      <c r="L2" s="56"/>
      <c r="M2" s="56"/>
      <c r="N2" s="57"/>
      <c r="W2" s="55" t="s">
        <v>1</v>
      </c>
      <c r="X2" s="56"/>
      <c r="Y2" s="56"/>
      <c r="Z2" s="57"/>
      <c r="AG2" s="55" t="s">
        <v>2</v>
      </c>
      <c r="AH2" s="56"/>
      <c r="AI2" s="56"/>
      <c r="AJ2" s="57"/>
      <c r="AR2" s="55" t="s">
        <v>3</v>
      </c>
      <c r="AS2" s="56"/>
      <c r="AT2" s="56"/>
      <c r="AU2" s="57"/>
    </row>
    <row r="3" spans="1:47" x14ac:dyDescent="0.3">
      <c r="A3" s="2" t="s">
        <v>139</v>
      </c>
    </row>
    <row r="4" spans="1:47" x14ac:dyDescent="0.3">
      <c r="A4" s="2" t="s">
        <v>140</v>
      </c>
      <c r="K4" s="2" t="s">
        <v>4</v>
      </c>
      <c r="L4" s="2" t="s">
        <v>5</v>
      </c>
      <c r="M4" s="3" t="s">
        <v>6</v>
      </c>
      <c r="N4" s="3" t="s">
        <v>7</v>
      </c>
      <c r="W4" s="3" t="s">
        <v>4</v>
      </c>
      <c r="X4" s="3" t="s">
        <v>5</v>
      </c>
      <c r="Y4" s="3" t="s">
        <v>6</v>
      </c>
      <c r="Z4" s="3" t="s">
        <v>7</v>
      </c>
      <c r="AG4" s="2" t="s">
        <v>4</v>
      </c>
      <c r="AH4" s="2" t="s">
        <v>5</v>
      </c>
      <c r="AI4" s="3" t="s">
        <v>6</v>
      </c>
      <c r="AJ4" s="3" t="s">
        <v>7</v>
      </c>
      <c r="AR4" s="2" t="s">
        <v>4</v>
      </c>
      <c r="AS4" s="2" t="s">
        <v>5</v>
      </c>
      <c r="AT4" s="3" t="s">
        <v>8</v>
      </c>
      <c r="AU4" s="3" t="s">
        <v>7</v>
      </c>
    </row>
    <row r="5" spans="1:47" x14ac:dyDescent="0.3">
      <c r="A5" s="2" t="s">
        <v>141</v>
      </c>
      <c r="K5" s="4" t="s">
        <v>19</v>
      </c>
      <c r="L5" s="4" t="s">
        <v>85</v>
      </c>
      <c r="M5" s="5">
        <v>42496</v>
      </c>
      <c r="N5" s="6">
        <v>21349</v>
      </c>
      <c r="W5" s="4" t="s">
        <v>9</v>
      </c>
      <c r="X5" s="4" t="s">
        <v>29</v>
      </c>
      <c r="Y5" s="5">
        <v>40397</v>
      </c>
      <c r="Z5" s="6">
        <v>40037</v>
      </c>
      <c r="AG5" s="4" t="s">
        <v>22</v>
      </c>
      <c r="AH5" s="7" t="s">
        <v>26</v>
      </c>
      <c r="AI5" s="12">
        <v>43216</v>
      </c>
      <c r="AJ5" s="6">
        <v>11793</v>
      </c>
      <c r="AR5" s="9" t="s">
        <v>15</v>
      </c>
      <c r="AS5" s="9" t="s">
        <v>16</v>
      </c>
      <c r="AT5" s="10" t="s">
        <v>17</v>
      </c>
      <c r="AU5" s="11">
        <v>30172</v>
      </c>
    </row>
    <row r="6" spans="1:47" x14ac:dyDescent="0.3">
      <c r="K6" s="4" t="s">
        <v>19</v>
      </c>
      <c r="L6" s="4" t="s">
        <v>27</v>
      </c>
      <c r="M6" s="5">
        <v>44235</v>
      </c>
      <c r="N6" s="6">
        <v>33234</v>
      </c>
      <c r="W6" s="4" t="s">
        <v>9</v>
      </c>
      <c r="X6" s="4" t="s">
        <v>58</v>
      </c>
      <c r="Y6" s="5">
        <v>40898</v>
      </c>
      <c r="Z6" s="6">
        <v>47333</v>
      </c>
      <c r="AG6" s="4" t="s">
        <v>11</v>
      </c>
      <c r="AH6" s="7" t="s">
        <v>21</v>
      </c>
      <c r="AI6" s="12">
        <v>43624</v>
      </c>
      <c r="AJ6" s="6">
        <v>11787</v>
      </c>
      <c r="AR6" s="9" t="s">
        <v>22</v>
      </c>
      <c r="AS6" s="9" t="s">
        <v>23</v>
      </c>
      <c r="AT6" s="10" t="s">
        <v>24</v>
      </c>
      <c r="AU6" s="11">
        <v>49110</v>
      </c>
    </row>
    <row r="7" spans="1:47" x14ac:dyDescent="0.3">
      <c r="K7" s="4" t="s">
        <v>19</v>
      </c>
      <c r="L7" s="4" t="s">
        <v>117</v>
      </c>
      <c r="M7" s="5">
        <v>40414</v>
      </c>
      <c r="N7" s="6">
        <v>23543</v>
      </c>
      <c r="W7" s="4" t="s">
        <v>9</v>
      </c>
      <c r="X7" s="4" t="s">
        <v>40</v>
      </c>
      <c r="Y7" s="5">
        <v>42272</v>
      </c>
      <c r="Z7" s="6">
        <v>32797</v>
      </c>
      <c r="AG7" s="4" t="s">
        <v>22</v>
      </c>
      <c r="AH7" s="4" t="s">
        <v>64</v>
      </c>
      <c r="AI7" s="12">
        <v>42864</v>
      </c>
      <c r="AJ7" s="6">
        <v>10953</v>
      </c>
      <c r="AR7" s="9" t="s">
        <v>19</v>
      </c>
      <c r="AS7" s="9" t="s">
        <v>27</v>
      </c>
      <c r="AT7" s="10" t="s">
        <v>28</v>
      </c>
      <c r="AU7" s="11">
        <v>33234</v>
      </c>
    </row>
    <row r="8" spans="1:47" x14ac:dyDescent="0.3">
      <c r="K8" s="4" t="s">
        <v>19</v>
      </c>
      <c r="L8" s="4" t="s">
        <v>129</v>
      </c>
      <c r="M8" s="5">
        <v>42690</v>
      </c>
      <c r="N8" s="6">
        <v>18320</v>
      </c>
      <c r="W8" s="4" t="s">
        <v>9</v>
      </c>
      <c r="X8" s="4" t="s">
        <v>49</v>
      </c>
      <c r="Y8" s="5">
        <v>42813</v>
      </c>
      <c r="Z8" s="6">
        <v>43035</v>
      </c>
      <c r="AG8" s="4" t="s">
        <v>13</v>
      </c>
      <c r="AH8" s="7" t="s">
        <v>14</v>
      </c>
      <c r="AI8" s="8">
        <v>44199</v>
      </c>
      <c r="AJ8" s="6">
        <v>13505</v>
      </c>
      <c r="AR8" s="9" t="s">
        <v>15</v>
      </c>
      <c r="AS8" s="9" t="s">
        <v>32</v>
      </c>
      <c r="AT8" s="10" t="s">
        <v>33</v>
      </c>
      <c r="AU8" s="11">
        <v>47275</v>
      </c>
    </row>
    <row r="9" spans="1:47" x14ac:dyDescent="0.3">
      <c r="K9" s="4" t="s">
        <v>19</v>
      </c>
      <c r="L9" s="4" t="s">
        <v>130</v>
      </c>
      <c r="M9" s="5">
        <v>40840</v>
      </c>
      <c r="N9" s="6">
        <v>19000</v>
      </c>
      <c r="W9" s="4" t="s">
        <v>9</v>
      </c>
      <c r="X9" s="4" t="s">
        <v>53</v>
      </c>
      <c r="Y9" s="5">
        <v>42954</v>
      </c>
      <c r="Z9" s="6">
        <v>39896</v>
      </c>
      <c r="AG9" s="4" t="s">
        <v>22</v>
      </c>
      <c r="AH9" s="13" t="s">
        <v>37</v>
      </c>
      <c r="AI9" s="8">
        <v>43371</v>
      </c>
      <c r="AJ9" s="6">
        <v>15650</v>
      </c>
      <c r="AR9" s="9" t="s">
        <v>13</v>
      </c>
      <c r="AS9" s="9" t="s">
        <v>38</v>
      </c>
      <c r="AT9" s="10" t="s">
        <v>39</v>
      </c>
      <c r="AU9" s="11">
        <v>13505</v>
      </c>
    </row>
    <row r="10" spans="1:47" x14ac:dyDescent="0.3">
      <c r="K10" s="4" t="s">
        <v>19</v>
      </c>
      <c r="L10" s="4" t="s">
        <v>132</v>
      </c>
      <c r="M10" s="5">
        <v>43582</v>
      </c>
      <c r="N10" s="6">
        <v>41644</v>
      </c>
      <c r="W10" s="4" t="s">
        <v>9</v>
      </c>
      <c r="X10" s="4" t="s">
        <v>34</v>
      </c>
      <c r="Y10" s="5">
        <v>42970</v>
      </c>
      <c r="Z10" s="6">
        <v>21921</v>
      </c>
      <c r="AG10" s="4" t="s">
        <v>11</v>
      </c>
      <c r="AH10" s="13" t="s">
        <v>42</v>
      </c>
      <c r="AI10" s="8">
        <v>43053</v>
      </c>
      <c r="AJ10" s="6">
        <v>16726</v>
      </c>
      <c r="AR10" s="9" t="s">
        <v>9</v>
      </c>
      <c r="AS10" s="9" t="s">
        <v>43</v>
      </c>
      <c r="AT10" s="10" t="s">
        <v>44</v>
      </c>
      <c r="AU10" s="11">
        <v>30335</v>
      </c>
    </row>
    <row r="11" spans="1:47" x14ac:dyDescent="0.3">
      <c r="K11" s="4" t="s">
        <v>19</v>
      </c>
      <c r="L11" s="4" t="s">
        <v>133</v>
      </c>
      <c r="M11" s="5">
        <v>43034</v>
      </c>
      <c r="N11" s="6">
        <v>34897</v>
      </c>
      <c r="W11" s="4" t="s">
        <v>9</v>
      </c>
      <c r="X11" s="4" t="s">
        <v>62</v>
      </c>
      <c r="Y11" s="5">
        <v>43060</v>
      </c>
      <c r="Z11" s="6">
        <v>44778</v>
      </c>
      <c r="AG11" s="4" t="s">
        <v>11</v>
      </c>
      <c r="AH11" s="14" t="s">
        <v>46</v>
      </c>
      <c r="AI11" s="8">
        <v>42593</v>
      </c>
      <c r="AJ11" s="6">
        <v>15187</v>
      </c>
      <c r="AR11" s="9" t="s">
        <v>13</v>
      </c>
      <c r="AS11" s="9" t="s">
        <v>47</v>
      </c>
      <c r="AT11" s="10" t="s">
        <v>48</v>
      </c>
      <c r="AU11" s="11">
        <v>10251</v>
      </c>
    </row>
    <row r="12" spans="1:47" x14ac:dyDescent="0.3">
      <c r="K12" s="4" t="s">
        <v>19</v>
      </c>
      <c r="L12" s="4" t="s">
        <v>56</v>
      </c>
      <c r="M12" s="5">
        <v>44162</v>
      </c>
      <c r="N12" s="6">
        <v>32527</v>
      </c>
      <c r="W12" s="4" t="s">
        <v>9</v>
      </c>
      <c r="X12" s="4" t="s">
        <v>10</v>
      </c>
      <c r="Y12" s="5">
        <v>43125</v>
      </c>
      <c r="Z12" s="6">
        <v>32686</v>
      </c>
      <c r="AG12" s="4" t="s">
        <v>15</v>
      </c>
      <c r="AH12" s="4" t="s">
        <v>55</v>
      </c>
      <c r="AI12" s="8">
        <v>43788</v>
      </c>
      <c r="AJ12" s="6">
        <v>14965</v>
      </c>
      <c r="AR12" s="9" t="s">
        <v>9</v>
      </c>
      <c r="AS12" s="9" t="s">
        <v>18</v>
      </c>
      <c r="AT12" s="10" t="s">
        <v>52</v>
      </c>
      <c r="AU12" s="11">
        <v>35035</v>
      </c>
    </row>
    <row r="13" spans="1:47" x14ac:dyDescent="0.3">
      <c r="K13" s="4" t="s">
        <v>19</v>
      </c>
      <c r="L13" s="4" t="s">
        <v>135</v>
      </c>
      <c r="M13" s="5">
        <v>42430</v>
      </c>
      <c r="N13" s="6">
        <v>38127</v>
      </c>
      <c r="W13" s="4" t="s">
        <v>9</v>
      </c>
      <c r="X13" s="4" t="s">
        <v>25</v>
      </c>
      <c r="Y13" s="5">
        <v>43403</v>
      </c>
      <c r="Z13" s="6">
        <v>32039</v>
      </c>
      <c r="AG13" s="4" t="s">
        <v>15</v>
      </c>
      <c r="AH13" s="4" t="s">
        <v>59</v>
      </c>
      <c r="AI13" s="8">
        <v>43846</v>
      </c>
      <c r="AJ13" s="6">
        <v>16799</v>
      </c>
      <c r="AR13" s="9" t="s">
        <v>19</v>
      </c>
      <c r="AS13" s="9" t="s">
        <v>56</v>
      </c>
      <c r="AT13" s="10" t="s">
        <v>57</v>
      </c>
      <c r="AU13" s="11">
        <v>32527</v>
      </c>
    </row>
    <row r="14" spans="1:47" x14ac:dyDescent="0.3">
      <c r="K14" s="4" t="s">
        <v>19</v>
      </c>
      <c r="L14" s="4" t="s">
        <v>136</v>
      </c>
      <c r="M14" s="5">
        <v>43174</v>
      </c>
      <c r="N14" s="6">
        <v>35407</v>
      </c>
      <c r="W14" s="4" t="s">
        <v>9</v>
      </c>
      <c r="X14" s="4" t="s">
        <v>45</v>
      </c>
      <c r="Y14" s="5">
        <v>43442</v>
      </c>
      <c r="Z14" s="6">
        <v>30209</v>
      </c>
      <c r="AG14" s="4" t="s">
        <v>15</v>
      </c>
      <c r="AH14" s="7" t="s">
        <v>31</v>
      </c>
      <c r="AI14" s="5">
        <v>43160</v>
      </c>
      <c r="AJ14" s="6">
        <v>12367</v>
      </c>
      <c r="AR14" s="9" t="s">
        <v>22</v>
      </c>
      <c r="AS14" s="9" t="s">
        <v>60</v>
      </c>
      <c r="AT14" s="10" t="s">
        <v>61</v>
      </c>
      <c r="AU14" s="11">
        <v>39163</v>
      </c>
    </row>
    <row r="15" spans="1:47" x14ac:dyDescent="0.3">
      <c r="K15" s="4" t="s">
        <v>19</v>
      </c>
      <c r="L15" s="4" t="s">
        <v>137</v>
      </c>
      <c r="M15" s="5">
        <v>42726</v>
      </c>
      <c r="N15" s="6">
        <v>30603</v>
      </c>
      <c r="W15" s="4" t="s">
        <v>9</v>
      </c>
      <c r="X15" s="4" t="s">
        <v>18</v>
      </c>
      <c r="Y15" s="5">
        <v>44168</v>
      </c>
      <c r="Z15" s="6">
        <v>35035</v>
      </c>
      <c r="AG15" s="4" t="s">
        <v>13</v>
      </c>
      <c r="AH15" s="14" t="s">
        <v>51</v>
      </c>
      <c r="AI15" s="5">
        <v>44169</v>
      </c>
      <c r="AJ15" s="6">
        <v>10251</v>
      </c>
      <c r="AR15" s="9" t="s">
        <v>22</v>
      </c>
      <c r="AS15" s="9" t="s">
        <v>65</v>
      </c>
      <c r="AT15" s="10" t="s">
        <v>66</v>
      </c>
      <c r="AU15" s="11">
        <v>48767</v>
      </c>
    </row>
    <row r="16" spans="1:47" x14ac:dyDescent="0.3">
      <c r="K16" s="4" t="s">
        <v>11</v>
      </c>
      <c r="L16" s="4" t="s">
        <v>12</v>
      </c>
      <c r="M16" s="5">
        <v>43290</v>
      </c>
      <c r="N16" s="6">
        <v>33869</v>
      </c>
      <c r="W16" s="4" t="s">
        <v>9</v>
      </c>
      <c r="X16" s="4" t="s">
        <v>43</v>
      </c>
      <c r="Y16" s="5">
        <v>44179</v>
      </c>
      <c r="Z16" s="6">
        <v>30335</v>
      </c>
      <c r="AG16" s="4" t="s">
        <v>15</v>
      </c>
      <c r="AH16" s="4" t="s">
        <v>68</v>
      </c>
      <c r="AI16" s="5">
        <v>42477</v>
      </c>
      <c r="AJ16" s="6">
        <v>10356</v>
      </c>
      <c r="AR16" s="9" t="s">
        <v>35</v>
      </c>
      <c r="AS16" s="9" t="s">
        <v>69</v>
      </c>
      <c r="AT16" s="10" t="s">
        <v>70</v>
      </c>
      <c r="AU16" s="11">
        <v>35928</v>
      </c>
    </row>
    <row r="17" spans="11:36" x14ac:dyDescent="0.3">
      <c r="K17" s="4" t="s">
        <v>11</v>
      </c>
      <c r="L17" s="4" t="s">
        <v>41</v>
      </c>
      <c r="M17" s="5">
        <v>42402</v>
      </c>
      <c r="N17" s="6">
        <v>38592</v>
      </c>
      <c r="W17" s="4" t="s">
        <v>15</v>
      </c>
      <c r="X17" s="4" t="s">
        <v>86</v>
      </c>
      <c r="Y17" s="5">
        <v>40901</v>
      </c>
      <c r="Z17" s="6">
        <v>32384</v>
      </c>
      <c r="AG17" s="4" t="s">
        <v>13</v>
      </c>
      <c r="AH17" s="4" t="s">
        <v>73</v>
      </c>
      <c r="AI17" s="5">
        <v>40429</v>
      </c>
      <c r="AJ17" s="6">
        <v>10484</v>
      </c>
    </row>
    <row r="18" spans="11:36" x14ac:dyDescent="0.3">
      <c r="K18" s="4" t="s">
        <v>11</v>
      </c>
      <c r="L18" s="4" t="s">
        <v>81</v>
      </c>
      <c r="M18" s="5">
        <v>40635</v>
      </c>
      <c r="N18" s="6">
        <v>40052</v>
      </c>
      <c r="W18" s="4" t="s">
        <v>15</v>
      </c>
      <c r="X18" s="4" t="s">
        <v>79</v>
      </c>
      <c r="Y18" s="5">
        <v>42129</v>
      </c>
      <c r="Z18" s="6">
        <v>26816</v>
      </c>
      <c r="AG18" s="4" t="s">
        <v>11</v>
      </c>
      <c r="AH18" s="4" t="s">
        <v>76</v>
      </c>
      <c r="AI18" s="5">
        <v>43218</v>
      </c>
      <c r="AJ18" s="6">
        <v>13577</v>
      </c>
    </row>
    <row r="19" spans="11:36" x14ac:dyDescent="0.3">
      <c r="K19" s="4" t="s">
        <v>11</v>
      </c>
      <c r="L19" s="4" t="s">
        <v>83</v>
      </c>
      <c r="M19" s="5">
        <v>40838</v>
      </c>
      <c r="N19" s="6">
        <v>39053</v>
      </c>
      <c r="W19" s="4" t="s">
        <v>15</v>
      </c>
      <c r="X19" s="4" t="s">
        <v>80</v>
      </c>
      <c r="Y19" s="5">
        <v>42477</v>
      </c>
      <c r="Z19" s="6">
        <v>10356</v>
      </c>
    </row>
    <row r="20" spans="11:36" x14ac:dyDescent="0.3">
      <c r="K20" s="4" t="s">
        <v>11</v>
      </c>
      <c r="L20" s="4" t="s">
        <v>87</v>
      </c>
      <c r="M20" s="5">
        <v>42072</v>
      </c>
      <c r="N20" s="6">
        <v>36815</v>
      </c>
      <c r="W20" s="4" t="s">
        <v>15</v>
      </c>
      <c r="X20" s="4" t="s">
        <v>71</v>
      </c>
      <c r="Y20" s="5">
        <v>42914</v>
      </c>
      <c r="Z20" s="6">
        <v>21884</v>
      </c>
    </row>
    <row r="21" spans="11:36" x14ac:dyDescent="0.3">
      <c r="K21" s="4" t="s">
        <v>11</v>
      </c>
      <c r="L21" s="4" t="s">
        <v>90</v>
      </c>
      <c r="M21" s="5">
        <v>43358</v>
      </c>
      <c r="N21" s="6">
        <v>49942</v>
      </c>
      <c r="W21" s="4" t="s">
        <v>15</v>
      </c>
      <c r="X21" s="4" t="s">
        <v>88</v>
      </c>
      <c r="Y21" s="5">
        <v>43017</v>
      </c>
      <c r="Z21" s="6">
        <v>46585</v>
      </c>
    </row>
    <row r="22" spans="11:36" x14ac:dyDescent="0.3">
      <c r="K22" s="4" t="s">
        <v>11</v>
      </c>
      <c r="L22" s="4" t="s">
        <v>102</v>
      </c>
      <c r="M22" s="5">
        <v>42593</v>
      </c>
      <c r="N22" s="6">
        <v>15187</v>
      </c>
      <c r="W22" s="4" t="s">
        <v>15</v>
      </c>
      <c r="X22" s="4" t="s">
        <v>74</v>
      </c>
      <c r="Y22" s="5">
        <v>43160</v>
      </c>
      <c r="Z22" s="6">
        <v>12367</v>
      </c>
    </row>
    <row r="23" spans="11:36" x14ac:dyDescent="0.3">
      <c r="K23" s="4" t="s">
        <v>11</v>
      </c>
      <c r="L23" s="4" t="s">
        <v>109</v>
      </c>
      <c r="M23" s="5">
        <v>40667</v>
      </c>
      <c r="N23" s="6">
        <v>36754</v>
      </c>
      <c r="W23" s="4" t="s">
        <v>15</v>
      </c>
      <c r="X23" s="4" t="s">
        <v>84</v>
      </c>
      <c r="Y23" s="5">
        <v>43788</v>
      </c>
      <c r="Z23" s="6">
        <v>14965</v>
      </c>
    </row>
    <row r="24" spans="11:36" x14ac:dyDescent="0.3">
      <c r="K24" s="4" t="s">
        <v>11</v>
      </c>
      <c r="L24" s="4" t="s">
        <v>110</v>
      </c>
      <c r="M24" s="5">
        <v>43624</v>
      </c>
      <c r="N24" s="6">
        <v>11787</v>
      </c>
      <c r="W24" s="4" t="s">
        <v>15</v>
      </c>
      <c r="X24" s="4" t="s">
        <v>82</v>
      </c>
      <c r="Y24" s="5">
        <v>43846</v>
      </c>
      <c r="Z24" s="6">
        <v>16799</v>
      </c>
    </row>
    <row r="25" spans="11:36" x14ac:dyDescent="0.3">
      <c r="K25" s="4" t="s">
        <v>11</v>
      </c>
      <c r="L25" s="4" t="s">
        <v>113</v>
      </c>
      <c r="M25" s="5">
        <v>43053</v>
      </c>
      <c r="N25" s="6">
        <v>16726</v>
      </c>
      <c r="W25" s="4" t="s">
        <v>15</v>
      </c>
      <c r="X25" s="4" t="s">
        <v>89</v>
      </c>
      <c r="Y25" s="5">
        <v>43951</v>
      </c>
      <c r="Z25" s="6">
        <v>31003</v>
      </c>
    </row>
    <row r="26" spans="11:36" x14ac:dyDescent="0.3">
      <c r="K26" s="4" t="s">
        <v>11</v>
      </c>
      <c r="L26" s="4" t="s">
        <v>131</v>
      </c>
      <c r="M26" s="5">
        <v>42049</v>
      </c>
      <c r="N26" s="6">
        <v>37535</v>
      </c>
      <c r="W26" s="4" t="s">
        <v>15</v>
      </c>
      <c r="X26" s="4" t="s">
        <v>77</v>
      </c>
      <c r="Y26" s="5">
        <v>44169</v>
      </c>
      <c r="Z26" s="6">
        <v>43719</v>
      </c>
    </row>
    <row r="27" spans="11:36" x14ac:dyDescent="0.3">
      <c r="K27" s="4" t="s">
        <v>11</v>
      </c>
      <c r="L27" s="4" t="s">
        <v>134</v>
      </c>
      <c r="M27" s="5">
        <v>43218</v>
      </c>
      <c r="N27" s="6">
        <v>13577</v>
      </c>
      <c r="W27" s="4" t="s">
        <v>15</v>
      </c>
      <c r="X27" s="4" t="s">
        <v>32</v>
      </c>
      <c r="Y27" s="5">
        <v>44229</v>
      </c>
      <c r="Z27" s="6">
        <v>47275</v>
      </c>
    </row>
    <row r="28" spans="11:36" x14ac:dyDescent="0.3">
      <c r="K28" s="4" t="s">
        <v>11</v>
      </c>
      <c r="L28" s="4" t="s">
        <v>134</v>
      </c>
      <c r="M28" s="5">
        <v>43218</v>
      </c>
      <c r="N28" s="6">
        <v>13577</v>
      </c>
      <c r="W28" s="4" t="s">
        <v>15</v>
      </c>
      <c r="X28" s="4" t="s">
        <v>16</v>
      </c>
      <c r="Y28" s="5">
        <v>44382</v>
      </c>
      <c r="Z28" s="6">
        <v>30172</v>
      </c>
    </row>
    <row r="29" spans="11:36" x14ac:dyDescent="0.3">
      <c r="K29" s="4" t="s">
        <v>13</v>
      </c>
      <c r="L29" s="4" t="s">
        <v>54</v>
      </c>
      <c r="M29" s="5">
        <v>40673</v>
      </c>
      <c r="N29" s="6">
        <v>23117</v>
      </c>
      <c r="W29" s="4" t="s">
        <v>35</v>
      </c>
      <c r="X29" s="4" t="s">
        <v>106</v>
      </c>
      <c r="Y29" s="5">
        <v>40469</v>
      </c>
      <c r="Z29" s="6">
        <v>47001</v>
      </c>
    </row>
    <row r="30" spans="11:36" x14ac:dyDescent="0.3">
      <c r="K30" s="4" t="s">
        <v>13</v>
      </c>
      <c r="L30" s="4" t="s">
        <v>63</v>
      </c>
      <c r="M30" s="5">
        <v>40822</v>
      </c>
      <c r="N30" s="6">
        <v>38562</v>
      </c>
      <c r="W30" s="4" t="s">
        <v>35</v>
      </c>
      <c r="X30" s="4" t="s">
        <v>95</v>
      </c>
      <c r="Y30" s="5">
        <v>40837</v>
      </c>
      <c r="Z30" s="6">
        <v>25396</v>
      </c>
    </row>
    <row r="31" spans="11:36" x14ac:dyDescent="0.3">
      <c r="K31" s="4" t="s">
        <v>13</v>
      </c>
      <c r="L31" s="4" t="s">
        <v>75</v>
      </c>
      <c r="M31" s="5">
        <v>43233</v>
      </c>
      <c r="N31" s="6">
        <v>19377</v>
      </c>
      <c r="W31" s="4" t="s">
        <v>35</v>
      </c>
      <c r="X31" s="4" t="s">
        <v>96</v>
      </c>
      <c r="Y31" s="5">
        <v>42067</v>
      </c>
      <c r="Z31" s="6">
        <v>41330</v>
      </c>
    </row>
    <row r="32" spans="11:36" x14ac:dyDescent="0.3">
      <c r="K32" s="4" t="s">
        <v>13</v>
      </c>
      <c r="L32" s="4" t="s">
        <v>78</v>
      </c>
      <c r="M32" s="5">
        <v>40717</v>
      </c>
      <c r="N32" s="6">
        <v>26799</v>
      </c>
      <c r="W32" s="4" t="s">
        <v>35</v>
      </c>
      <c r="X32" s="4" t="s">
        <v>98</v>
      </c>
      <c r="Y32" s="5">
        <v>42296</v>
      </c>
      <c r="Z32" s="6">
        <v>19655</v>
      </c>
    </row>
    <row r="33" spans="11:26" x14ac:dyDescent="0.3">
      <c r="K33" s="4" t="s">
        <v>13</v>
      </c>
      <c r="L33" s="4" t="s">
        <v>91</v>
      </c>
      <c r="M33" s="5">
        <v>42911</v>
      </c>
      <c r="N33" s="6">
        <v>17302</v>
      </c>
      <c r="W33" s="4" t="s">
        <v>35</v>
      </c>
      <c r="X33" s="4" t="s">
        <v>101</v>
      </c>
      <c r="Y33" s="5">
        <v>42428</v>
      </c>
      <c r="Z33" s="6">
        <v>41138</v>
      </c>
    </row>
    <row r="34" spans="11:26" x14ac:dyDescent="0.3">
      <c r="K34" s="4" t="s">
        <v>13</v>
      </c>
      <c r="L34" s="4" t="s">
        <v>94</v>
      </c>
      <c r="M34" s="5">
        <v>42462</v>
      </c>
      <c r="N34" s="6">
        <v>25893</v>
      </c>
      <c r="W34" s="4" t="s">
        <v>35</v>
      </c>
      <c r="X34" s="4" t="s">
        <v>36</v>
      </c>
      <c r="Y34" s="5">
        <v>42777</v>
      </c>
      <c r="Z34" s="6">
        <v>19187</v>
      </c>
    </row>
    <row r="35" spans="11:26" x14ac:dyDescent="0.3">
      <c r="K35" s="4" t="s">
        <v>13</v>
      </c>
      <c r="L35" s="4" t="s">
        <v>97</v>
      </c>
      <c r="M35" s="5">
        <v>44033</v>
      </c>
      <c r="N35" s="6">
        <v>24185</v>
      </c>
      <c r="W35" s="4" t="s">
        <v>35</v>
      </c>
      <c r="X35" s="4" t="s">
        <v>92</v>
      </c>
      <c r="Y35" s="5">
        <v>43129</v>
      </c>
      <c r="Z35" s="6">
        <v>18200</v>
      </c>
    </row>
    <row r="36" spans="11:26" x14ac:dyDescent="0.3">
      <c r="K36" s="4" t="s">
        <v>13</v>
      </c>
      <c r="L36" s="4" t="s">
        <v>38</v>
      </c>
      <c r="M36" s="5">
        <v>44199</v>
      </c>
      <c r="N36" s="6">
        <v>13505</v>
      </c>
      <c r="W36" s="4" t="s">
        <v>35</v>
      </c>
      <c r="X36" s="4" t="s">
        <v>105</v>
      </c>
      <c r="Y36" s="5">
        <v>43609</v>
      </c>
      <c r="Z36" s="6">
        <v>47391</v>
      </c>
    </row>
    <row r="37" spans="11:26" x14ac:dyDescent="0.3">
      <c r="K37" s="4" t="s">
        <v>13</v>
      </c>
      <c r="L37" s="4" t="s">
        <v>107</v>
      </c>
      <c r="M37" s="5">
        <v>40429</v>
      </c>
      <c r="N37" s="6">
        <v>10484</v>
      </c>
      <c r="W37" s="4" t="s">
        <v>35</v>
      </c>
      <c r="X37" s="4" t="s">
        <v>99</v>
      </c>
      <c r="Y37" s="5">
        <v>43791</v>
      </c>
      <c r="Z37" s="6">
        <v>22923</v>
      </c>
    </row>
    <row r="38" spans="11:26" x14ac:dyDescent="0.3">
      <c r="K38" s="4" t="s">
        <v>13</v>
      </c>
      <c r="L38" s="4" t="s">
        <v>111</v>
      </c>
      <c r="M38" s="5">
        <v>43912</v>
      </c>
      <c r="N38" s="6">
        <v>17272</v>
      </c>
      <c r="W38" s="4" t="s">
        <v>35</v>
      </c>
      <c r="X38" s="4" t="s">
        <v>93</v>
      </c>
      <c r="Y38" s="5">
        <v>43980</v>
      </c>
      <c r="Z38" s="6">
        <v>18072</v>
      </c>
    </row>
    <row r="39" spans="11:26" x14ac:dyDescent="0.3">
      <c r="K39" s="4" t="s">
        <v>13</v>
      </c>
      <c r="L39" s="4" t="s">
        <v>115</v>
      </c>
      <c r="M39" s="5">
        <v>42615</v>
      </c>
      <c r="N39" s="6">
        <v>46904</v>
      </c>
      <c r="W39" s="4" t="s">
        <v>35</v>
      </c>
      <c r="X39" s="4" t="s">
        <v>103</v>
      </c>
      <c r="Y39" s="5">
        <v>44122</v>
      </c>
      <c r="Z39" s="6">
        <v>17520</v>
      </c>
    </row>
    <row r="40" spans="11:26" x14ac:dyDescent="0.3">
      <c r="K40" s="4" t="s">
        <v>13</v>
      </c>
      <c r="L40" s="4" t="s">
        <v>47</v>
      </c>
      <c r="M40" s="5">
        <v>44169</v>
      </c>
      <c r="N40" s="6">
        <v>10251</v>
      </c>
      <c r="W40" s="4" t="s">
        <v>35</v>
      </c>
      <c r="X40" s="4" t="s">
        <v>69</v>
      </c>
      <c r="Y40" s="5">
        <v>44131</v>
      </c>
      <c r="Z40" s="6">
        <v>35928</v>
      </c>
    </row>
    <row r="41" spans="11:26" x14ac:dyDescent="0.3">
      <c r="K41" s="4" t="s">
        <v>22</v>
      </c>
      <c r="L41" s="4" t="s">
        <v>30</v>
      </c>
      <c r="M41" s="5">
        <v>40311</v>
      </c>
      <c r="N41" s="6">
        <v>45824</v>
      </c>
      <c r="W41" s="4" t="s">
        <v>22</v>
      </c>
      <c r="X41" s="4" t="s">
        <v>30</v>
      </c>
      <c r="Y41" s="5">
        <v>40311</v>
      </c>
      <c r="Z41" s="6">
        <v>45824</v>
      </c>
    </row>
    <row r="42" spans="11:26" x14ac:dyDescent="0.3">
      <c r="K42" s="4" t="s">
        <v>22</v>
      </c>
      <c r="L42" s="4" t="s">
        <v>50</v>
      </c>
      <c r="M42" s="5">
        <v>43371</v>
      </c>
      <c r="N42" s="6">
        <v>15650</v>
      </c>
      <c r="W42" s="4" t="s">
        <v>22</v>
      </c>
      <c r="X42" s="4" t="s">
        <v>119</v>
      </c>
      <c r="Y42" s="5">
        <v>40519</v>
      </c>
      <c r="Z42" s="6">
        <v>48723</v>
      </c>
    </row>
    <row r="43" spans="11:26" x14ac:dyDescent="0.3">
      <c r="K43" s="4" t="s">
        <v>22</v>
      </c>
      <c r="L43" s="4" t="s">
        <v>67</v>
      </c>
      <c r="M43" s="5">
        <v>43678</v>
      </c>
      <c r="N43" s="6">
        <v>43948</v>
      </c>
      <c r="W43" s="4" t="s">
        <v>22</v>
      </c>
      <c r="X43" s="4" t="s">
        <v>114</v>
      </c>
      <c r="Y43" s="5">
        <v>40556</v>
      </c>
      <c r="Z43" s="6">
        <v>33138</v>
      </c>
    </row>
    <row r="44" spans="11:26" x14ac:dyDescent="0.3">
      <c r="K44" s="4" t="s">
        <v>22</v>
      </c>
      <c r="L44" s="4" t="s">
        <v>72</v>
      </c>
      <c r="M44" s="5">
        <v>43623</v>
      </c>
      <c r="N44" s="6">
        <v>27580</v>
      </c>
      <c r="W44" s="4" t="s">
        <v>22</v>
      </c>
      <c r="X44" s="4" t="s">
        <v>128</v>
      </c>
      <c r="Y44" s="5">
        <v>40804</v>
      </c>
      <c r="Z44" s="6">
        <v>27449</v>
      </c>
    </row>
    <row r="45" spans="11:26" x14ac:dyDescent="0.3">
      <c r="K45" s="4" t="s">
        <v>22</v>
      </c>
      <c r="L45" s="4" t="s">
        <v>65</v>
      </c>
      <c r="M45" s="5">
        <v>44139</v>
      </c>
      <c r="N45" s="6">
        <v>48767</v>
      </c>
      <c r="W45" s="4" t="s">
        <v>22</v>
      </c>
      <c r="X45" s="4" t="s">
        <v>126</v>
      </c>
      <c r="Y45" s="5">
        <v>40870</v>
      </c>
      <c r="Z45" s="6">
        <v>49204</v>
      </c>
    </row>
    <row r="46" spans="11:26" x14ac:dyDescent="0.3">
      <c r="K46" s="4" t="s">
        <v>22</v>
      </c>
      <c r="L46" s="4" t="s">
        <v>100</v>
      </c>
      <c r="M46" s="5">
        <v>43447</v>
      </c>
      <c r="N46" s="6">
        <v>31623</v>
      </c>
      <c r="W46" s="4" t="s">
        <v>22</v>
      </c>
      <c r="X46" s="4" t="s">
        <v>108</v>
      </c>
      <c r="Y46" s="5">
        <v>40898</v>
      </c>
      <c r="Z46" s="6">
        <v>18613</v>
      </c>
    </row>
    <row r="47" spans="11:26" x14ac:dyDescent="0.3">
      <c r="K47" s="4" t="s">
        <v>22</v>
      </c>
      <c r="L47" s="4" t="s">
        <v>104</v>
      </c>
      <c r="M47" s="5">
        <v>43216</v>
      </c>
      <c r="N47" s="6">
        <v>11793</v>
      </c>
      <c r="W47" s="4" t="s">
        <v>22</v>
      </c>
      <c r="X47" s="4" t="s">
        <v>127</v>
      </c>
      <c r="Y47" s="5">
        <v>42088</v>
      </c>
      <c r="Z47" s="6">
        <v>43721</v>
      </c>
    </row>
    <row r="48" spans="11:26" x14ac:dyDescent="0.3">
      <c r="K48" s="4" t="s">
        <v>22</v>
      </c>
      <c r="L48" s="4" t="s">
        <v>108</v>
      </c>
      <c r="M48" s="5">
        <v>40898</v>
      </c>
      <c r="N48" s="6">
        <v>18613</v>
      </c>
      <c r="W48" s="4" t="s">
        <v>22</v>
      </c>
      <c r="X48" s="4" t="s">
        <v>122</v>
      </c>
      <c r="Y48" s="5">
        <v>42144</v>
      </c>
      <c r="Z48" s="6">
        <v>23343</v>
      </c>
    </row>
    <row r="49" spans="11:26" x14ac:dyDescent="0.3">
      <c r="K49" s="4" t="s">
        <v>22</v>
      </c>
      <c r="L49" s="4" t="s">
        <v>60</v>
      </c>
      <c r="M49" s="5">
        <v>44142</v>
      </c>
      <c r="N49" s="6">
        <v>39163</v>
      </c>
      <c r="W49" s="4" t="s">
        <v>22</v>
      </c>
      <c r="X49" s="4" t="s">
        <v>116</v>
      </c>
      <c r="Y49" s="5">
        <v>42220</v>
      </c>
      <c r="Z49" s="6">
        <v>30642</v>
      </c>
    </row>
    <row r="50" spans="11:26" x14ac:dyDescent="0.3">
      <c r="K50" s="4" t="s">
        <v>22</v>
      </c>
      <c r="L50" s="4" t="s">
        <v>112</v>
      </c>
      <c r="M50" s="5">
        <v>42378</v>
      </c>
      <c r="N50" s="6">
        <v>49266</v>
      </c>
      <c r="W50" s="4" t="s">
        <v>22</v>
      </c>
      <c r="X50" s="4" t="s">
        <v>123</v>
      </c>
      <c r="Y50" s="5">
        <v>42359</v>
      </c>
      <c r="Z50" s="6">
        <v>27784</v>
      </c>
    </row>
    <row r="51" spans="11:26" x14ac:dyDescent="0.3">
      <c r="K51" s="4" t="s">
        <v>22</v>
      </c>
      <c r="L51" s="4" t="s">
        <v>114</v>
      </c>
      <c r="M51" s="5">
        <v>40556</v>
      </c>
      <c r="N51" s="6">
        <v>33138</v>
      </c>
      <c r="W51" s="4" t="s">
        <v>22</v>
      </c>
      <c r="X51" s="4" t="s">
        <v>112</v>
      </c>
      <c r="Y51" s="5">
        <v>42378</v>
      </c>
      <c r="Z51" s="6">
        <v>49266</v>
      </c>
    </row>
    <row r="52" spans="11:26" x14ac:dyDescent="0.3">
      <c r="K52" s="4" t="s">
        <v>22</v>
      </c>
      <c r="L52" s="4" t="s">
        <v>116</v>
      </c>
      <c r="M52" s="5">
        <v>42220</v>
      </c>
      <c r="N52" s="6">
        <v>30642</v>
      </c>
      <c r="W52" s="4" t="s">
        <v>22</v>
      </c>
      <c r="X52" s="4" t="s">
        <v>120</v>
      </c>
      <c r="Y52" s="5">
        <v>42841</v>
      </c>
      <c r="Z52" s="6">
        <v>33001</v>
      </c>
    </row>
    <row r="53" spans="11:26" x14ac:dyDescent="0.3">
      <c r="K53" s="4" t="s">
        <v>22</v>
      </c>
      <c r="L53" s="4" t="s">
        <v>118</v>
      </c>
      <c r="M53" s="5">
        <v>42936</v>
      </c>
      <c r="N53" s="6">
        <v>20638</v>
      </c>
      <c r="W53" s="4" t="s">
        <v>22</v>
      </c>
      <c r="X53" s="4" t="s">
        <v>125</v>
      </c>
      <c r="Y53" s="5">
        <v>42856</v>
      </c>
      <c r="Z53" s="6">
        <v>30092</v>
      </c>
    </row>
    <row r="54" spans="11:26" x14ac:dyDescent="0.3">
      <c r="K54" s="4" t="s">
        <v>22</v>
      </c>
      <c r="L54" s="4" t="s">
        <v>119</v>
      </c>
      <c r="M54" s="5">
        <v>40519</v>
      </c>
      <c r="N54" s="6">
        <v>48723</v>
      </c>
      <c r="W54" s="4" t="s">
        <v>22</v>
      </c>
      <c r="X54" s="4" t="s">
        <v>124</v>
      </c>
      <c r="Y54" s="5">
        <v>42864</v>
      </c>
      <c r="Z54" s="6">
        <v>10953</v>
      </c>
    </row>
    <row r="55" spans="11:26" x14ac:dyDescent="0.3">
      <c r="K55" s="4" t="s">
        <v>22</v>
      </c>
      <c r="L55" s="4" t="s">
        <v>120</v>
      </c>
      <c r="M55" s="5">
        <v>42841</v>
      </c>
      <c r="N55" s="6">
        <v>33001</v>
      </c>
      <c r="W55" s="4" t="s">
        <v>22</v>
      </c>
      <c r="X55" s="4" t="s">
        <v>118</v>
      </c>
      <c r="Y55" s="5">
        <v>42936</v>
      </c>
      <c r="Z55" s="6">
        <v>20638</v>
      </c>
    </row>
    <row r="56" spans="11:26" x14ac:dyDescent="0.3">
      <c r="K56" s="4" t="s">
        <v>22</v>
      </c>
      <c r="L56" s="4" t="s">
        <v>121</v>
      </c>
      <c r="M56" s="5">
        <v>42995</v>
      </c>
      <c r="N56" s="6">
        <v>19399</v>
      </c>
      <c r="W56" s="4" t="s">
        <v>22</v>
      </c>
      <c r="X56" s="4" t="s">
        <v>121</v>
      </c>
      <c r="Y56" s="5">
        <v>42995</v>
      </c>
      <c r="Z56" s="6">
        <v>19399</v>
      </c>
    </row>
    <row r="57" spans="11:26" x14ac:dyDescent="0.3">
      <c r="K57" s="4" t="s">
        <v>22</v>
      </c>
      <c r="L57" s="4" t="s">
        <v>23</v>
      </c>
      <c r="M57" s="5">
        <v>44243</v>
      </c>
      <c r="N57" s="6">
        <v>49110</v>
      </c>
      <c r="W57" s="4" t="s">
        <v>22</v>
      </c>
      <c r="X57" s="4" t="s">
        <v>104</v>
      </c>
      <c r="Y57" s="5">
        <v>43216</v>
      </c>
      <c r="Z57" s="6">
        <v>11793</v>
      </c>
    </row>
    <row r="58" spans="11:26" x14ac:dyDescent="0.3">
      <c r="K58" s="4" t="s">
        <v>22</v>
      </c>
      <c r="L58" s="4" t="s">
        <v>122</v>
      </c>
      <c r="M58" s="5">
        <v>42144</v>
      </c>
      <c r="N58" s="6">
        <v>23343</v>
      </c>
      <c r="W58" s="4" t="s">
        <v>22</v>
      </c>
      <c r="X58" s="4" t="s">
        <v>50</v>
      </c>
      <c r="Y58" s="5">
        <v>43371</v>
      </c>
      <c r="Z58" s="6">
        <v>15650</v>
      </c>
    </row>
    <row r="59" spans="11:26" x14ac:dyDescent="0.3">
      <c r="K59" s="4" t="s">
        <v>22</v>
      </c>
      <c r="L59" s="4" t="s">
        <v>123</v>
      </c>
      <c r="M59" s="5">
        <v>42359</v>
      </c>
      <c r="N59" s="6">
        <v>27784</v>
      </c>
      <c r="W59" s="4" t="s">
        <v>22</v>
      </c>
      <c r="X59" s="4" t="s">
        <v>100</v>
      </c>
      <c r="Y59" s="5">
        <v>43447</v>
      </c>
      <c r="Z59" s="6">
        <v>31623</v>
      </c>
    </row>
    <row r="60" spans="11:26" x14ac:dyDescent="0.3">
      <c r="K60" s="4" t="s">
        <v>22</v>
      </c>
      <c r="L60" s="4" t="s">
        <v>124</v>
      </c>
      <c r="M60" s="5">
        <v>42864</v>
      </c>
      <c r="N60" s="6">
        <v>10953</v>
      </c>
      <c r="W60" s="4" t="s">
        <v>22</v>
      </c>
      <c r="X60" s="4" t="s">
        <v>72</v>
      </c>
      <c r="Y60" s="5">
        <v>43623</v>
      </c>
      <c r="Z60" s="6">
        <v>27580</v>
      </c>
    </row>
    <row r="61" spans="11:26" x14ac:dyDescent="0.3">
      <c r="K61" s="4" t="s">
        <v>22</v>
      </c>
      <c r="L61" s="4" t="s">
        <v>125</v>
      </c>
      <c r="M61" s="5">
        <v>42856</v>
      </c>
      <c r="N61" s="6">
        <v>30092</v>
      </c>
      <c r="W61" s="4" t="s">
        <v>22</v>
      </c>
      <c r="X61" s="4" t="s">
        <v>67</v>
      </c>
      <c r="Y61" s="5">
        <v>43678</v>
      </c>
      <c r="Z61" s="6">
        <v>43948</v>
      </c>
    </row>
    <row r="62" spans="11:26" x14ac:dyDescent="0.3">
      <c r="K62" s="4" t="s">
        <v>22</v>
      </c>
      <c r="L62" s="4" t="s">
        <v>126</v>
      </c>
      <c r="M62" s="5">
        <v>40870</v>
      </c>
      <c r="N62" s="6">
        <v>49204</v>
      </c>
      <c r="W62" s="4" t="s">
        <v>22</v>
      </c>
      <c r="X62" s="4" t="s">
        <v>65</v>
      </c>
      <c r="Y62" s="5">
        <v>44139</v>
      </c>
      <c r="Z62" s="6">
        <v>48767</v>
      </c>
    </row>
    <row r="63" spans="11:26" x14ac:dyDescent="0.3">
      <c r="K63" s="4" t="s">
        <v>22</v>
      </c>
      <c r="L63" s="4" t="s">
        <v>127</v>
      </c>
      <c r="M63" s="5">
        <v>42088</v>
      </c>
      <c r="N63" s="6">
        <v>43721</v>
      </c>
      <c r="W63" s="4" t="s">
        <v>22</v>
      </c>
      <c r="X63" s="4" t="s">
        <v>60</v>
      </c>
      <c r="Y63" s="5">
        <v>44142</v>
      </c>
      <c r="Z63" s="6">
        <v>39163</v>
      </c>
    </row>
    <row r="64" spans="11:26" x14ac:dyDescent="0.3">
      <c r="K64" s="4" t="s">
        <v>22</v>
      </c>
      <c r="L64" s="4" t="s">
        <v>128</v>
      </c>
      <c r="M64" s="5">
        <v>40804</v>
      </c>
      <c r="N64" s="6">
        <v>27449</v>
      </c>
      <c r="W64" s="4" t="s">
        <v>22</v>
      </c>
      <c r="X64" s="4" t="s">
        <v>23</v>
      </c>
      <c r="Y64" s="5">
        <v>44243</v>
      </c>
      <c r="Z64" s="6">
        <v>49110</v>
      </c>
    </row>
    <row r="65" spans="11:26" x14ac:dyDescent="0.3">
      <c r="K65" s="4" t="s">
        <v>35</v>
      </c>
      <c r="L65" s="4" t="s">
        <v>36</v>
      </c>
      <c r="M65" s="5">
        <v>42777</v>
      </c>
      <c r="N65" s="6">
        <v>19187</v>
      </c>
      <c r="W65" s="4" t="s">
        <v>13</v>
      </c>
      <c r="X65" s="4" t="s">
        <v>107</v>
      </c>
      <c r="Y65" s="5">
        <v>40429</v>
      </c>
      <c r="Z65" s="6">
        <v>10484</v>
      </c>
    </row>
    <row r="66" spans="11:26" x14ac:dyDescent="0.3">
      <c r="K66" s="4" t="s">
        <v>35</v>
      </c>
      <c r="L66" s="4" t="s">
        <v>92</v>
      </c>
      <c r="M66" s="5">
        <v>43129</v>
      </c>
      <c r="N66" s="6">
        <v>18200</v>
      </c>
      <c r="W66" s="4" t="s">
        <v>13</v>
      </c>
      <c r="X66" s="4" t="s">
        <v>54</v>
      </c>
      <c r="Y66" s="5">
        <v>40673</v>
      </c>
      <c r="Z66" s="6">
        <v>23117</v>
      </c>
    </row>
    <row r="67" spans="11:26" x14ac:dyDescent="0.3">
      <c r="K67" s="4" t="s">
        <v>35</v>
      </c>
      <c r="L67" s="4" t="s">
        <v>93</v>
      </c>
      <c r="M67" s="5">
        <v>43980</v>
      </c>
      <c r="N67" s="6">
        <v>18072</v>
      </c>
      <c r="W67" s="4" t="s">
        <v>13</v>
      </c>
      <c r="X67" s="4" t="s">
        <v>78</v>
      </c>
      <c r="Y67" s="5">
        <v>40717</v>
      </c>
      <c r="Z67" s="6">
        <v>26799</v>
      </c>
    </row>
    <row r="68" spans="11:26" x14ac:dyDescent="0.3">
      <c r="K68" s="4" t="s">
        <v>35</v>
      </c>
      <c r="L68" s="4" t="s">
        <v>95</v>
      </c>
      <c r="M68" s="5">
        <v>40837</v>
      </c>
      <c r="N68" s="6">
        <v>25396</v>
      </c>
      <c r="W68" s="4" t="s">
        <v>13</v>
      </c>
      <c r="X68" s="4" t="s">
        <v>63</v>
      </c>
      <c r="Y68" s="5">
        <v>40822</v>
      </c>
      <c r="Z68" s="6">
        <v>38562</v>
      </c>
    </row>
    <row r="69" spans="11:26" x14ac:dyDescent="0.3">
      <c r="K69" s="4" t="s">
        <v>35</v>
      </c>
      <c r="L69" s="4" t="s">
        <v>96</v>
      </c>
      <c r="M69" s="5">
        <v>42067</v>
      </c>
      <c r="N69" s="6">
        <v>41330</v>
      </c>
      <c r="W69" s="4" t="s">
        <v>13</v>
      </c>
      <c r="X69" s="4" t="s">
        <v>94</v>
      </c>
      <c r="Y69" s="5">
        <v>42462</v>
      </c>
      <c r="Z69" s="6">
        <v>25893</v>
      </c>
    </row>
    <row r="70" spans="11:26" x14ac:dyDescent="0.3">
      <c r="K70" s="4" t="s">
        <v>35</v>
      </c>
      <c r="L70" s="4" t="s">
        <v>98</v>
      </c>
      <c r="M70" s="5">
        <v>42296</v>
      </c>
      <c r="N70" s="6">
        <v>19655</v>
      </c>
      <c r="W70" s="4" t="s">
        <v>13</v>
      </c>
      <c r="X70" s="4" t="s">
        <v>115</v>
      </c>
      <c r="Y70" s="5">
        <v>42615</v>
      </c>
      <c r="Z70" s="6">
        <v>46904</v>
      </c>
    </row>
    <row r="71" spans="11:26" x14ac:dyDescent="0.3">
      <c r="K71" s="4" t="s">
        <v>35</v>
      </c>
      <c r="L71" s="4" t="s">
        <v>99</v>
      </c>
      <c r="M71" s="5">
        <v>43791</v>
      </c>
      <c r="N71" s="6">
        <v>22923</v>
      </c>
      <c r="W71" s="4" t="s">
        <v>13</v>
      </c>
      <c r="X71" s="4" t="s">
        <v>91</v>
      </c>
      <c r="Y71" s="5">
        <v>42911</v>
      </c>
      <c r="Z71" s="6">
        <v>17302</v>
      </c>
    </row>
    <row r="72" spans="11:26" x14ac:dyDescent="0.3">
      <c r="K72" s="4" t="s">
        <v>35</v>
      </c>
      <c r="L72" s="4" t="s">
        <v>69</v>
      </c>
      <c r="M72" s="5">
        <v>44131</v>
      </c>
      <c r="N72" s="6">
        <v>35928</v>
      </c>
      <c r="W72" s="4" t="s">
        <v>13</v>
      </c>
      <c r="X72" s="4" t="s">
        <v>75</v>
      </c>
      <c r="Y72" s="5">
        <v>43233</v>
      </c>
      <c r="Z72" s="6">
        <v>19377</v>
      </c>
    </row>
    <row r="73" spans="11:26" x14ac:dyDescent="0.3">
      <c r="K73" s="4" t="s">
        <v>35</v>
      </c>
      <c r="L73" s="4" t="s">
        <v>101</v>
      </c>
      <c r="M73" s="5">
        <v>42428</v>
      </c>
      <c r="N73" s="6">
        <v>41138</v>
      </c>
      <c r="W73" s="4" t="s">
        <v>13</v>
      </c>
      <c r="X73" s="4" t="s">
        <v>111</v>
      </c>
      <c r="Y73" s="5">
        <v>43912</v>
      </c>
      <c r="Z73" s="6">
        <v>17272</v>
      </c>
    </row>
    <row r="74" spans="11:26" x14ac:dyDescent="0.3">
      <c r="K74" s="4" t="s">
        <v>35</v>
      </c>
      <c r="L74" s="4" t="s">
        <v>103</v>
      </c>
      <c r="M74" s="5">
        <v>44122</v>
      </c>
      <c r="N74" s="6">
        <v>17520</v>
      </c>
      <c r="W74" s="4" t="s">
        <v>13</v>
      </c>
      <c r="X74" s="4" t="s">
        <v>97</v>
      </c>
      <c r="Y74" s="5">
        <v>44033</v>
      </c>
      <c r="Z74" s="6">
        <v>24185</v>
      </c>
    </row>
    <row r="75" spans="11:26" x14ac:dyDescent="0.3">
      <c r="K75" s="4" t="s">
        <v>35</v>
      </c>
      <c r="L75" s="4" t="s">
        <v>105</v>
      </c>
      <c r="M75" s="5">
        <v>43609</v>
      </c>
      <c r="N75" s="6">
        <v>47391</v>
      </c>
      <c r="W75" s="4" t="s">
        <v>13</v>
      </c>
      <c r="X75" s="4" t="s">
        <v>47</v>
      </c>
      <c r="Y75" s="5">
        <v>44169</v>
      </c>
      <c r="Z75" s="6">
        <v>10251</v>
      </c>
    </row>
    <row r="76" spans="11:26" x14ac:dyDescent="0.3">
      <c r="K76" s="4" t="s">
        <v>35</v>
      </c>
      <c r="L76" s="4" t="s">
        <v>106</v>
      </c>
      <c r="M76" s="5">
        <v>40469</v>
      </c>
      <c r="N76" s="6">
        <v>47001</v>
      </c>
      <c r="W76" s="4" t="s">
        <v>13</v>
      </c>
      <c r="X76" s="4" t="s">
        <v>38</v>
      </c>
      <c r="Y76" s="5">
        <v>44199</v>
      </c>
      <c r="Z76" s="6">
        <v>13505</v>
      </c>
    </row>
    <row r="77" spans="11:26" x14ac:dyDescent="0.3">
      <c r="K77" s="4" t="s">
        <v>15</v>
      </c>
      <c r="L77" s="4" t="s">
        <v>71</v>
      </c>
      <c r="M77" s="5">
        <v>42914</v>
      </c>
      <c r="N77" s="6">
        <v>21884</v>
      </c>
      <c r="W77" s="4" t="s">
        <v>11</v>
      </c>
      <c r="X77" s="4" t="s">
        <v>81</v>
      </c>
      <c r="Y77" s="5">
        <v>40635</v>
      </c>
      <c r="Z77" s="6">
        <v>40052</v>
      </c>
    </row>
    <row r="78" spans="11:26" x14ac:dyDescent="0.3">
      <c r="K78" s="4" t="s">
        <v>15</v>
      </c>
      <c r="L78" s="4" t="s">
        <v>74</v>
      </c>
      <c r="M78" s="5">
        <v>43160</v>
      </c>
      <c r="N78" s="6">
        <v>12367</v>
      </c>
      <c r="W78" s="4" t="s">
        <v>11</v>
      </c>
      <c r="X78" s="4" t="s">
        <v>109</v>
      </c>
      <c r="Y78" s="5">
        <v>40667</v>
      </c>
      <c r="Z78" s="6">
        <v>36754</v>
      </c>
    </row>
    <row r="79" spans="11:26" x14ac:dyDescent="0.3">
      <c r="K79" s="4" t="s">
        <v>15</v>
      </c>
      <c r="L79" s="4" t="s">
        <v>77</v>
      </c>
      <c r="M79" s="5">
        <v>44169</v>
      </c>
      <c r="N79" s="6">
        <v>43719</v>
      </c>
      <c r="W79" s="4" t="s">
        <v>11</v>
      </c>
      <c r="X79" s="4" t="s">
        <v>83</v>
      </c>
      <c r="Y79" s="5">
        <v>40838</v>
      </c>
      <c r="Z79" s="6">
        <v>39053</v>
      </c>
    </row>
    <row r="80" spans="11:26" x14ac:dyDescent="0.3">
      <c r="K80" s="4" t="s">
        <v>15</v>
      </c>
      <c r="L80" s="4" t="s">
        <v>79</v>
      </c>
      <c r="M80" s="5">
        <v>42129</v>
      </c>
      <c r="N80" s="6">
        <v>26816</v>
      </c>
      <c r="W80" s="4" t="s">
        <v>11</v>
      </c>
      <c r="X80" s="4" t="s">
        <v>131</v>
      </c>
      <c r="Y80" s="5">
        <v>42049</v>
      </c>
      <c r="Z80" s="6">
        <v>37535</v>
      </c>
    </row>
    <row r="81" spans="11:26" x14ac:dyDescent="0.3">
      <c r="K81" s="4" t="s">
        <v>15</v>
      </c>
      <c r="L81" s="4" t="s">
        <v>80</v>
      </c>
      <c r="M81" s="5">
        <v>42477</v>
      </c>
      <c r="N81" s="6">
        <v>10356</v>
      </c>
      <c r="W81" s="4" t="s">
        <v>11</v>
      </c>
      <c r="X81" s="4" t="s">
        <v>87</v>
      </c>
      <c r="Y81" s="5">
        <v>42072</v>
      </c>
      <c r="Z81" s="6">
        <v>36815</v>
      </c>
    </row>
    <row r="82" spans="11:26" x14ac:dyDescent="0.3">
      <c r="K82" s="4" t="s">
        <v>15</v>
      </c>
      <c r="L82" s="4" t="s">
        <v>16</v>
      </c>
      <c r="M82" s="5">
        <v>44382</v>
      </c>
      <c r="N82" s="6">
        <v>30172</v>
      </c>
      <c r="W82" s="4" t="s">
        <v>11</v>
      </c>
      <c r="X82" s="4" t="s">
        <v>41</v>
      </c>
      <c r="Y82" s="5">
        <v>42402</v>
      </c>
      <c r="Z82" s="6">
        <v>38592</v>
      </c>
    </row>
    <row r="83" spans="11:26" x14ac:dyDescent="0.3">
      <c r="K83" s="4" t="s">
        <v>15</v>
      </c>
      <c r="L83" s="4" t="s">
        <v>82</v>
      </c>
      <c r="M83" s="5">
        <v>43846</v>
      </c>
      <c r="N83" s="6">
        <v>16799</v>
      </c>
      <c r="W83" s="4" t="s">
        <v>11</v>
      </c>
      <c r="X83" s="4" t="s">
        <v>102</v>
      </c>
      <c r="Y83" s="5">
        <v>42593</v>
      </c>
      <c r="Z83" s="6">
        <v>15187</v>
      </c>
    </row>
    <row r="84" spans="11:26" x14ac:dyDescent="0.3">
      <c r="K84" s="4" t="s">
        <v>15</v>
      </c>
      <c r="L84" s="4" t="s">
        <v>84</v>
      </c>
      <c r="M84" s="5">
        <v>43788</v>
      </c>
      <c r="N84" s="6">
        <v>14965</v>
      </c>
      <c r="W84" s="4" t="s">
        <v>11</v>
      </c>
      <c r="X84" s="4" t="s">
        <v>113</v>
      </c>
      <c r="Y84" s="5">
        <v>43053</v>
      </c>
      <c r="Z84" s="6">
        <v>16726</v>
      </c>
    </row>
    <row r="85" spans="11:26" x14ac:dyDescent="0.3">
      <c r="K85" s="4" t="s">
        <v>15</v>
      </c>
      <c r="L85" s="4" t="s">
        <v>86</v>
      </c>
      <c r="M85" s="5">
        <v>40901</v>
      </c>
      <c r="N85" s="6">
        <v>32384</v>
      </c>
      <c r="W85" s="4" t="s">
        <v>11</v>
      </c>
      <c r="X85" s="4" t="s">
        <v>134</v>
      </c>
      <c r="Y85" s="5">
        <v>43218</v>
      </c>
      <c r="Z85" s="6">
        <v>13577</v>
      </c>
    </row>
    <row r="86" spans="11:26" x14ac:dyDescent="0.3">
      <c r="K86" s="4" t="s">
        <v>15</v>
      </c>
      <c r="L86" s="4" t="s">
        <v>88</v>
      </c>
      <c r="M86" s="5">
        <v>43017</v>
      </c>
      <c r="N86" s="6">
        <v>46585</v>
      </c>
      <c r="W86" s="4" t="s">
        <v>11</v>
      </c>
      <c r="X86" s="4" t="s">
        <v>12</v>
      </c>
      <c r="Y86" s="5">
        <v>43290</v>
      </c>
      <c r="Z86" s="6">
        <v>33869</v>
      </c>
    </row>
    <row r="87" spans="11:26" x14ac:dyDescent="0.3">
      <c r="K87" s="4" t="s">
        <v>15</v>
      </c>
      <c r="L87" s="4" t="s">
        <v>89</v>
      </c>
      <c r="M87" s="5">
        <v>43951</v>
      </c>
      <c r="N87" s="6">
        <v>31003</v>
      </c>
      <c r="W87" s="4" t="s">
        <v>11</v>
      </c>
      <c r="X87" s="4" t="s">
        <v>90</v>
      </c>
      <c r="Y87" s="5">
        <v>43358</v>
      </c>
      <c r="Z87" s="6">
        <v>49942</v>
      </c>
    </row>
    <row r="88" spans="11:26" x14ac:dyDescent="0.3">
      <c r="K88" s="4" t="s">
        <v>15</v>
      </c>
      <c r="L88" s="4" t="s">
        <v>32</v>
      </c>
      <c r="M88" s="5">
        <v>44229</v>
      </c>
      <c r="N88" s="6">
        <v>47275</v>
      </c>
      <c r="W88" s="4" t="s">
        <v>11</v>
      </c>
      <c r="X88" s="4" t="s">
        <v>110</v>
      </c>
      <c r="Y88" s="5">
        <v>43624</v>
      </c>
      <c r="Z88" s="6">
        <v>11787</v>
      </c>
    </row>
    <row r="89" spans="11:26" x14ac:dyDescent="0.3">
      <c r="K89" s="4" t="s">
        <v>9</v>
      </c>
      <c r="L89" s="4" t="s">
        <v>10</v>
      </c>
      <c r="M89" s="5">
        <v>43125</v>
      </c>
      <c r="N89" s="6">
        <v>32686</v>
      </c>
      <c r="W89" s="4" t="s">
        <v>19</v>
      </c>
      <c r="X89" s="4" t="s">
        <v>117</v>
      </c>
      <c r="Y89" s="5">
        <v>40414</v>
      </c>
      <c r="Z89" s="6">
        <v>23543</v>
      </c>
    </row>
    <row r="90" spans="11:26" x14ac:dyDescent="0.3">
      <c r="K90" s="4" t="s">
        <v>9</v>
      </c>
      <c r="L90" s="4" t="s">
        <v>18</v>
      </c>
      <c r="M90" s="5">
        <v>44168</v>
      </c>
      <c r="N90" s="6">
        <v>35035</v>
      </c>
      <c r="W90" s="4" t="s">
        <v>19</v>
      </c>
      <c r="X90" s="4" t="s">
        <v>130</v>
      </c>
      <c r="Y90" s="5">
        <v>40840</v>
      </c>
      <c r="Z90" s="6">
        <v>19000</v>
      </c>
    </row>
    <row r="91" spans="11:26" x14ac:dyDescent="0.3">
      <c r="K91" s="4" t="s">
        <v>9</v>
      </c>
      <c r="L91" s="4" t="s">
        <v>25</v>
      </c>
      <c r="M91" s="5">
        <v>43403</v>
      </c>
      <c r="N91" s="6">
        <v>32039</v>
      </c>
      <c r="W91" s="4" t="s">
        <v>19</v>
      </c>
      <c r="X91" s="4" t="s">
        <v>20</v>
      </c>
      <c r="Y91" s="5">
        <v>40880</v>
      </c>
      <c r="Z91" s="6">
        <v>42096</v>
      </c>
    </row>
    <row r="92" spans="11:26" x14ac:dyDescent="0.3">
      <c r="K92" s="4" t="s">
        <v>9</v>
      </c>
      <c r="L92" s="4" t="s">
        <v>29</v>
      </c>
      <c r="M92" s="5">
        <v>40397</v>
      </c>
      <c r="N92" s="6">
        <v>40037</v>
      </c>
      <c r="W92" s="4" t="s">
        <v>19</v>
      </c>
      <c r="X92" s="4" t="s">
        <v>135</v>
      </c>
      <c r="Y92" s="5">
        <v>42430</v>
      </c>
      <c r="Z92" s="6">
        <v>38127</v>
      </c>
    </row>
    <row r="93" spans="11:26" x14ac:dyDescent="0.3">
      <c r="K93" s="4" t="s">
        <v>9</v>
      </c>
      <c r="L93" s="4" t="s">
        <v>34</v>
      </c>
      <c r="M93" s="5">
        <v>42970</v>
      </c>
      <c r="N93" s="6">
        <v>21921</v>
      </c>
      <c r="W93" s="4" t="s">
        <v>19</v>
      </c>
      <c r="X93" s="4" t="s">
        <v>85</v>
      </c>
      <c r="Y93" s="5">
        <v>42496</v>
      </c>
      <c r="Z93" s="6">
        <v>21349</v>
      </c>
    </row>
    <row r="94" spans="11:26" x14ac:dyDescent="0.3">
      <c r="K94" s="4" t="s">
        <v>9</v>
      </c>
      <c r="L94" s="4" t="s">
        <v>40</v>
      </c>
      <c r="M94" s="5">
        <v>42272</v>
      </c>
      <c r="N94" s="6">
        <v>32797</v>
      </c>
      <c r="W94" s="4" t="s">
        <v>19</v>
      </c>
      <c r="X94" s="4" t="s">
        <v>129</v>
      </c>
      <c r="Y94" s="5">
        <v>42690</v>
      </c>
      <c r="Z94" s="6">
        <v>18320</v>
      </c>
    </row>
    <row r="95" spans="11:26" x14ac:dyDescent="0.3">
      <c r="K95" s="4" t="s">
        <v>9</v>
      </c>
      <c r="L95" s="4" t="s">
        <v>45</v>
      </c>
      <c r="M95" s="5">
        <v>43442</v>
      </c>
      <c r="N95" s="6">
        <v>30209</v>
      </c>
      <c r="W95" s="4" t="s">
        <v>19</v>
      </c>
      <c r="X95" s="4" t="s">
        <v>137</v>
      </c>
      <c r="Y95" s="5">
        <v>42726</v>
      </c>
      <c r="Z95" s="6">
        <v>30603</v>
      </c>
    </row>
    <row r="96" spans="11:26" x14ac:dyDescent="0.3">
      <c r="K96" s="4" t="s">
        <v>9</v>
      </c>
      <c r="L96" s="4" t="s">
        <v>49</v>
      </c>
      <c r="M96" s="5">
        <v>42813</v>
      </c>
      <c r="N96" s="6">
        <v>43035</v>
      </c>
      <c r="W96" s="4" t="s">
        <v>19</v>
      </c>
      <c r="X96" s="4" t="s">
        <v>133</v>
      </c>
      <c r="Y96" s="5">
        <v>43034</v>
      </c>
      <c r="Z96" s="6">
        <v>34897</v>
      </c>
    </row>
    <row r="97" spans="11:26" x14ac:dyDescent="0.3">
      <c r="K97" s="4" t="s">
        <v>9</v>
      </c>
      <c r="L97" s="4" t="s">
        <v>53</v>
      </c>
      <c r="M97" s="5">
        <v>42954</v>
      </c>
      <c r="N97" s="6">
        <v>39896</v>
      </c>
      <c r="W97" s="4" t="s">
        <v>19</v>
      </c>
      <c r="X97" s="4" t="s">
        <v>136</v>
      </c>
      <c r="Y97" s="5">
        <v>43174</v>
      </c>
      <c r="Z97" s="6">
        <v>35407</v>
      </c>
    </row>
    <row r="98" spans="11:26" x14ac:dyDescent="0.3">
      <c r="K98" s="4" t="s">
        <v>9</v>
      </c>
      <c r="L98" s="4" t="s">
        <v>58</v>
      </c>
      <c r="M98" s="5">
        <v>40898</v>
      </c>
      <c r="N98" s="6">
        <v>47333</v>
      </c>
      <c r="W98" s="4" t="s">
        <v>19</v>
      </c>
      <c r="X98" s="4" t="s">
        <v>132</v>
      </c>
      <c r="Y98" s="5">
        <v>43582</v>
      </c>
      <c r="Z98" s="6">
        <v>41644</v>
      </c>
    </row>
    <row r="99" spans="11:26" x14ac:dyDescent="0.3">
      <c r="K99" s="4" t="s">
        <v>9</v>
      </c>
      <c r="L99" s="4" t="s">
        <v>62</v>
      </c>
      <c r="M99" s="5">
        <v>43060</v>
      </c>
      <c r="N99" s="6">
        <v>44778</v>
      </c>
      <c r="W99" s="4" t="s">
        <v>19</v>
      </c>
      <c r="X99" s="4" t="s">
        <v>56</v>
      </c>
      <c r="Y99" s="5">
        <v>44162</v>
      </c>
      <c r="Z99" s="6">
        <v>32527</v>
      </c>
    </row>
    <row r="100" spans="11:26" x14ac:dyDescent="0.3">
      <c r="K100" s="4" t="s">
        <v>9</v>
      </c>
      <c r="L100" s="4" t="s">
        <v>43</v>
      </c>
      <c r="M100" s="5">
        <v>44179</v>
      </c>
      <c r="N100" s="6">
        <v>30335</v>
      </c>
      <c r="W100" s="4" t="s">
        <v>19</v>
      </c>
      <c r="X100" s="4" t="s">
        <v>27</v>
      </c>
      <c r="Y100" s="5">
        <v>44235</v>
      </c>
      <c r="Z100" s="6">
        <v>33234</v>
      </c>
    </row>
  </sheetData>
  <sortState xmlns:xlrd2="http://schemas.microsoft.com/office/spreadsheetml/2017/richdata2" ref="AR5:AU16">
    <sortCondition ref="AT5:AT16" customList="Jan,Feb,Mar,Apr,May,Jun,Jul,Aug,Sep,Oct,Nov,Dec"/>
  </sortState>
  <mergeCells count="4">
    <mergeCell ref="K2:N2"/>
    <mergeCell ref="W2:Z2"/>
    <mergeCell ref="AG2:AJ2"/>
    <mergeCell ref="AR2:AU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83053-94EA-4375-8C79-265E5BB8D523}">
  <dimension ref="A1:BD44"/>
  <sheetViews>
    <sheetView showGridLines="0" topLeftCell="AX1" zoomScale="120" zoomScaleNormal="120" workbookViewId="0">
      <selection activeCell="AX8" sqref="AX8"/>
    </sheetView>
  </sheetViews>
  <sheetFormatPr defaultColWidth="14.42578125" defaultRowHeight="15" x14ac:dyDescent="0.25"/>
  <cols>
    <col min="1" max="1" width="27.7109375" customWidth="1"/>
    <col min="12" max="12" width="34" customWidth="1"/>
    <col min="13" max="13" width="16.85546875" customWidth="1"/>
    <col min="14" max="14" width="16.28515625" style="15" customWidth="1"/>
    <col min="15" max="15" width="16.28515625" customWidth="1"/>
    <col min="24" max="24" width="33.28515625" bestFit="1" customWidth="1"/>
    <col min="38" max="38" width="33.28515625" bestFit="1" customWidth="1"/>
    <col min="49" max="49" width="33.28515625" bestFit="1" customWidth="1"/>
  </cols>
  <sheetData>
    <row r="1" spans="1:56" ht="19.899999999999999" customHeight="1" x14ac:dyDescent="0.25"/>
    <row r="2" spans="1:56" ht="19.899999999999999" customHeight="1" x14ac:dyDescent="0.3">
      <c r="A2" s="2" t="s">
        <v>279</v>
      </c>
      <c r="L2" s="58" t="s">
        <v>142</v>
      </c>
      <c r="M2" s="59"/>
      <c r="N2" s="59"/>
      <c r="O2" s="60"/>
      <c r="X2" s="58" t="s">
        <v>143</v>
      </c>
      <c r="Y2" s="59"/>
      <c r="Z2" s="59"/>
      <c r="AA2" s="60"/>
      <c r="AL2" s="58" t="s">
        <v>144</v>
      </c>
      <c r="AM2" s="59"/>
      <c r="AN2" s="59"/>
      <c r="AO2" s="60"/>
      <c r="AW2" s="58" t="s">
        <v>145</v>
      </c>
      <c r="AX2" s="59"/>
      <c r="AY2" s="59"/>
      <c r="AZ2" s="60"/>
    </row>
    <row r="3" spans="1:56" ht="19.899999999999999" customHeight="1" x14ac:dyDescent="0.3">
      <c r="A3" s="2" t="s">
        <v>280</v>
      </c>
      <c r="AQ3" s="4" t="s">
        <v>151</v>
      </c>
    </row>
    <row r="4" spans="1:56" ht="17.25" x14ac:dyDescent="0.3">
      <c r="A4" s="2" t="s">
        <v>281</v>
      </c>
      <c r="L4" s="16" t="s">
        <v>146</v>
      </c>
      <c r="M4" s="2" t="s">
        <v>147</v>
      </c>
      <c r="N4" s="17" t="s">
        <v>8</v>
      </c>
      <c r="O4" s="3" t="s">
        <v>148</v>
      </c>
      <c r="X4" s="16" t="s">
        <v>146</v>
      </c>
      <c r="Y4" s="2" t="s">
        <v>149</v>
      </c>
      <c r="Z4" s="2" t="s">
        <v>8</v>
      </c>
      <c r="AA4" s="3" t="s">
        <v>148</v>
      </c>
      <c r="AL4" s="16" t="s">
        <v>146</v>
      </c>
      <c r="AM4" s="2" t="s">
        <v>150</v>
      </c>
      <c r="AN4" s="2" t="s">
        <v>8</v>
      </c>
      <c r="AO4" s="3" t="s">
        <v>148</v>
      </c>
      <c r="AQ4" s="4" t="s">
        <v>153</v>
      </c>
      <c r="AW4" s="16" t="s">
        <v>146</v>
      </c>
      <c r="AX4" s="2" t="s">
        <v>150</v>
      </c>
      <c r="AY4" s="2" t="s">
        <v>8</v>
      </c>
      <c r="AZ4" s="3" t="s">
        <v>148</v>
      </c>
      <c r="BB4" s="2" t="s">
        <v>150</v>
      </c>
    </row>
    <row r="5" spans="1:56" ht="17.25" x14ac:dyDescent="0.3">
      <c r="A5" s="2" t="s">
        <v>282</v>
      </c>
      <c r="L5" s="18">
        <v>45539</v>
      </c>
      <c r="M5" s="4" t="s">
        <v>151</v>
      </c>
      <c r="N5" s="19" t="s">
        <v>44</v>
      </c>
      <c r="O5" s="6">
        <v>259</v>
      </c>
      <c r="X5" s="18">
        <v>44150</v>
      </c>
      <c r="Y5" s="13" t="s">
        <v>152</v>
      </c>
      <c r="Z5" s="20" t="s">
        <v>44</v>
      </c>
      <c r="AA5" s="6">
        <v>259</v>
      </c>
      <c r="AL5" s="18">
        <v>44150</v>
      </c>
      <c r="AM5" s="4" t="s">
        <v>151</v>
      </c>
      <c r="AN5" s="4" t="s">
        <v>44</v>
      </c>
      <c r="AO5" s="6">
        <v>259</v>
      </c>
      <c r="AQ5" s="4" t="s">
        <v>155</v>
      </c>
      <c r="AW5" s="18">
        <v>44150</v>
      </c>
      <c r="AX5" s="4" t="s">
        <v>151</v>
      </c>
      <c r="AY5" s="4" t="s">
        <v>44</v>
      </c>
      <c r="AZ5" s="6">
        <v>259</v>
      </c>
      <c r="BB5" s="4" t="s">
        <v>151</v>
      </c>
      <c r="BD5" s="49"/>
    </row>
    <row r="6" spans="1:56" ht="17.25" x14ac:dyDescent="0.3">
      <c r="L6" s="18">
        <v>45540</v>
      </c>
      <c r="M6" s="4" t="s">
        <v>153</v>
      </c>
      <c r="N6" s="19" t="s">
        <v>39</v>
      </c>
      <c r="O6" s="6">
        <v>807</v>
      </c>
      <c r="X6" s="18">
        <v>44157</v>
      </c>
      <c r="Y6" s="4" t="s">
        <v>154</v>
      </c>
      <c r="Z6" s="4" t="s">
        <v>39</v>
      </c>
      <c r="AA6" s="6">
        <v>807</v>
      </c>
      <c r="AL6" s="18">
        <v>44157</v>
      </c>
      <c r="AM6" s="4" t="s">
        <v>153</v>
      </c>
      <c r="AN6" s="4" t="s">
        <v>39</v>
      </c>
      <c r="AO6" s="6">
        <v>807</v>
      </c>
      <c r="AQ6" s="4" t="s">
        <v>157</v>
      </c>
      <c r="AW6" s="18">
        <v>44157</v>
      </c>
      <c r="AX6" s="4" t="s">
        <v>151</v>
      </c>
      <c r="AY6" s="4" t="s">
        <v>39</v>
      </c>
      <c r="AZ6" s="6">
        <v>807</v>
      </c>
      <c r="BB6" s="4" t="s">
        <v>159</v>
      </c>
      <c r="BD6" s="49"/>
    </row>
    <row r="7" spans="1:56" ht="17.25" x14ac:dyDescent="0.3">
      <c r="L7" s="18">
        <v>45541</v>
      </c>
      <c r="M7" s="4" t="s">
        <v>155</v>
      </c>
      <c r="N7" s="19" t="s">
        <v>33</v>
      </c>
      <c r="O7" s="6">
        <v>1345</v>
      </c>
      <c r="X7" s="18">
        <v>44188</v>
      </c>
      <c r="Y7" s="4" t="s">
        <v>156</v>
      </c>
      <c r="Z7" s="21" t="s">
        <v>33</v>
      </c>
      <c r="AA7" s="6">
        <v>1345</v>
      </c>
      <c r="AL7" s="18">
        <v>44188</v>
      </c>
      <c r="AM7" s="4" t="s">
        <v>155</v>
      </c>
      <c r="AN7" s="4" t="s">
        <v>33</v>
      </c>
      <c r="AO7" s="6">
        <v>1345</v>
      </c>
      <c r="AQ7" s="4" t="s">
        <v>159</v>
      </c>
      <c r="AW7" s="18">
        <v>44188</v>
      </c>
      <c r="AX7" s="4" t="s">
        <v>151</v>
      </c>
      <c r="AY7" s="4" t="s">
        <v>33</v>
      </c>
      <c r="AZ7" s="6">
        <v>1345</v>
      </c>
      <c r="BB7" s="4" t="s">
        <v>167</v>
      </c>
      <c r="BD7" s="49"/>
    </row>
    <row r="8" spans="1:56" ht="17.25" x14ac:dyDescent="0.3">
      <c r="L8" s="18">
        <v>45542</v>
      </c>
      <c r="M8" s="4" t="s">
        <v>157</v>
      </c>
      <c r="N8" s="19" t="s">
        <v>48</v>
      </c>
      <c r="O8" s="6">
        <v>1403</v>
      </c>
      <c r="X8" s="18">
        <v>44171</v>
      </c>
      <c r="Y8" s="14" t="s">
        <v>158</v>
      </c>
      <c r="Z8" s="4" t="s">
        <v>48</v>
      </c>
      <c r="AA8" s="6">
        <v>1403</v>
      </c>
      <c r="AL8" s="18">
        <v>44171</v>
      </c>
      <c r="AM8" s="4" t="s">
        <v>157</v>
      </c>
      <c r="AN8" s="4" t="s">
        <v>48</v>
      </c>
      <c r="AO8" s="6">
        <v>1403</v>
      </c>
      <c r="AQ8" s="4" t="s">
        <v>161</v>
      </c>
      <c r="AW8" s="18">
        <v>44171</v>
      </c>
      <c r="AX8" s="4" t="s">
        <v>151</v>
      </c>
      <c r="AY8" s="4" t="s">
        <v>48</v>
      </c>
      <c r="AZ8" s="6">
        <v>1403</v>
      </c>
      <c r="BB8" s="4" t="s">
        <v>177</v>
      </c>
      <c r="BD8" s="49"/>
    </row>
    <row r="9" spans="1:56" ht="17.25" x14ac:dyDescent="0.3">
      <c r="L9" s="18">
        <v>45543</v>
      </c>
      <c r="M9" s="4" t="s">
        <v>159</v>
      </c>
      <c r="N9" s="19" t="s">
        <v>48</v>
      </c>
      <c r="O9" s="6">
        <v>1429</v>
      </c>
      <c r="X9" s="18">
        <v>44178</v>
      </c>
      <c r="Y9" s="4" t="s">
        <v>160</v>
      </c>
      <c r="Z9" s="4" t="s">
        <v>48</v>
      </c>
      <c r="AA9" s="6">
        <v>1429</v>
      </c>
      <c r="AL9" s="18">
        <v>44178</v>
      </c>
      <c r="AM9" s="4" t="s">
        <v>159</v>
      </c>
      <c r="AN9" s="4" t="s">
        <v>48</v>
      </c>
      <c r="AO9" s="6">
        <v>1429</v>
      </c>
      <c r="AQ9" s="4" t="s">
        <v>163</v>
      </c>
      <c r="AW9" s="18">
        <v>44178</v>
      </c>
      <c r="AX9" s="4" t="s">
        <v>159</v>
      </c>
      <c r="AY9" s="4" t="s">
        <v>48</v>
      </c>
      <c r="AZ9" s="6">
        <v>1429</v>
      </c>
      <c r="BB9" s="4" t="s">
        <v>187</v>
      </c>
      <c r="BD9" s="49"/>
    </row>
    <row r="10" spans="1:56" ht="17.25" x14ac:dyDescent="0.3">
      <c r="L10" s="18">
        <v>45544</v>
      </c>
      <c r="M10" s="4" t="s">
        <v>161</v>
      </c>
      <c r="N10" s="19" t="s">
        <v>39</v>
      </c>
      <c r="O10" s="6">
        <v>1618</v>
      </c>
      <c r="X10" s="18">
        <v>44185</v>
      </c>
      <c r="Y10" s="4" t="s">
        <v>162</v>
      </c>
      <c r="Z10" s="4" t="s">
        <v>39</v>
      </c>
      <c r="AA10" s="6">
        <v>1618</v>
      </c>
      <c r="AL10" s="18">
        <v>44185</v>
      </c>
      <c r="AM10" s="4" t="s">
        <v>161</v>
      </c>
      <c r="AN10" s="4" t="s">
        <v>39</v>
      </c>
      <c r="AO10" s="6">
        <v>1618</v>
      </c>
      <c r="AQ10" s="4" t="s">
        <v>165</v>
      </c>
      <c r="AW10" s="18">
        <v>44185</v>
      </c>
      <c r="AX10" s="4" t="s">
        <v>159</v>
      </c>
      <c r="AY10" s="4" t="s">
        <v>39</v>
      </c>
      <c r="AZ10" s="6">
        <v>1618</v>
      </c>
      <c r="BB10" s="4" t="s">
        <v>189</v>
      </c>
      <c r="BD10" s="49"/>
    </row>
    <row r="11" spans="1:56" ht="17.25" x14ac:dyDescent="0.3">
      <c r="L11" s="18">
        <v>45545</v>
      </c>
      <c r="M11" s="4" t="s">
        <v>163</v>
      </c>
      <c r="N11" s="19" t="s">
        <v>44</v>
      </c>
      <c r="O11" s="6">
        <v>1650</v>
      </c>
      <c r="X11" s="18">
        <v>44192</v>
      </c>
      <c r="Y11" s="13" t="s">
        <v>164</v>
      </c>
      <c r="Z11" s="20" t="s">
        <v>44</v>
      </c>
      <c r="AA11" s="6">
        <v>1650</v>
      </c>
      <c r="AL11" s="18">
        <v>44192</v>
      </c>
      <c r="AM11" s="4" t="s">
        <v>163</v>
      </c>
      <c r="AN11" s="4" t="s">
        <v>44</v>
      </c>
      <c r="AO11" s="6">
        <v>1650</v>
      </c>
      <c r="AQ11" s="4" t="s">
        <v>167</v>
      </c>
      <c r="AW11" s="18">
        <v>44192</v>
      </c>
      <c r="AX11" s="4" t="s">
        <v>159</v>
      </c>
      <c r="AY11" s="4" t="s">
        <v>44</v>
      </c>
      <c r="AZ11" s="6">
        <v>1650</v>
      </c>
      <c r="BB11" s="4" t="s">
        <v>191</v>
      </c>
      <c r="BD11" s="49"/>
    </row>
    <row r="12" spans="1:56" ht="19.899999999999999" customHeight="1" x14ac:dyDescent="0.3">
      <c r="L12" s="18">
        <v>45546</v>
      </c>
      <c r="M12" s="4" t="s">
        <v>165</v>
      </c>
      <c r="N12" s="19" t="s">
        <v>33</v>
      </c>
      <c r="O12" s="6">
        <v>2227</v>
      </c>
      <c r="X12" s="18">
        <v>44193</v>
      </c>
      <c r="Y12" s="4" t="s">
        <v>166</v>
      </c>
      <c r="Z12" s="20" t="s">
        <v>44</v>
      </c>
      <c r="AA12" s="6">
        <v>1745</v>
      </c>
      <c r="AL12" s="18">
        <v>44194</v>
      </c>
      <c r="AM12" s="4" t="s">
        <v>165</v>
      </c>
      <c r="AN12" s="4" t="s">
        <v>33</v>
      </c>
      <c r="AO12" s="6">
        <v>2227</v>
      </c>
      <c r="AQ12" s="4" t="s">
        <v>169</v>
      </c>
      <c r="AW12" s="18">
        <v>44194</v>
      </c>
      <c r="AX12" s="4" t="s">
        <v>159</v>
      </c>
      <c r="AY12" s="4" t="s">
        <v>33</v>
      </c>
      <c r="AZ12" s="6">
        <v>2227</v>
      </c>
      <c r="BB12" s="4" t="s">
        <v>193</v>
      </c>
      <c r="BD12" s="49"/>
    </row>
    <row r="13" spans="1:56" ht="17.25" x14ac:dyDescent="0.3">
      <c r="L13" s="18">
        <v>45547</v>
      </c>
      <c r="M13" s="4" t="s">
        <v>167</v>
      </c>
      <c r="N13" s="19" t="s">
        <v>39</v>
      </c>
      <c r="O13" s="6">
        <v>2436</v>
      </c>
      <c r="X13" s="18">
        <v>44194</v>
      </c>
      <c r="Y13" s="4" t="s">
        <v>168</v>
      </c>
      <c r="Z13" s="21" t="s">
        <v>33</v>
      </c>
      <c r="AA13" s="6">
        <v>2227</v>
      </c>
      <c r="AL13" s="18">
        <v>44195</v>
      </c>
      <c r="AM13" s="4" t="s">
        <v>167</v>
      </c>
      <c r="AN13" s="4" t="s">
        <v>39</v>
      </c>
      <c r="AO13" s="6">
        <v>2436</v>
      </c>
      <c r="AQ13" s="4" t="s">
        <v>171</v>
      </c>
      <c r="AW13" s="18">
        <v>44195</v>
      </c>
      <c r="AX13" s="4" t="s">
        <v>167</v>
      </c>
      <c r="AY13" s="4" t="s">
        <v>39</v>
      </c>
      <c r="AZ13" s="6">
        <v>2436</v>
      </c>
      <c r="BB13" s="4" t="s">
        <v>195</v>
      </c>
      <c r="BD13" s="49"/>
    </row>
    <row r="14" spans="1:56" ht="17.25" x14ac:dyDescent="0.3">
      <c r="L14" s="18">
        <v>44196</v>
      </c>
      <c r="M14" s="4" t="s">
        <v>169</v>
      </c>
      <c r="N14" s="19" t="s">
        <v>44</v>
      </c>
      <c r="O14" s="6">
        <v>2584</v>
      </c>
      <c r="X14" s="18">
        <v>44195</v>
      </c>
      <c r="Y14" s="14" t="s">
        <v>170</v>
      </c>
      <c r="Z14" s="4" t="s">
        <v>39</v>
      </c>
      <c r="AA14" s="6">
        <v>2436</v>
      </c>
      <c r="AL14" s="18">
        <v>44196</v>
      </c>
      <c r="AM14" s="4" t="s">
        <v>169</v>
      </c>
      <c r="AN14" s="4" t="s">
        <v>44</v>
      </c>
      <c r="AO14" s="6">
        <v>2584</v>
      </c>
      <c r="AQ14" s="4" t="s">
        <v>173</v>
      </c>
      <c r="AW14" s="18">
        <v>44196</v>
      </c>
      <c r="AX14" s="4" t="s">
        <v>167</v>
      </c>
      <c r="AY14" s="4" t="s">
        <v>44</v>
      </c>
      <c r="AZ14" s="6">
        <v>2584</v>
      </c>
      <c r="BB14" s="4" t="s">
        <v>197</v>
      </c>
      <c r="BD14" s="49"/>
    </row>
    <row r="15" spans="1:56" ht="19.899999999999999" customHeight="1" x14ac:dyDescent="0.3">
      <c r="L15" s="18">
        <v>44197</v>
      </c>
      <c r="M15" s="4" t="s">
        <v>171</v>
      </c>
      <c r="N15" s="19" t="s">
        <v>33</v>
      </c>
      <c r="O15" s="6">
        <v>2688</v>
      </c>
      <c r="X15" s="18">
        <v>44196</v>
      </c>
      <c r="Y15" s="4" t="s">
        <v>172</v>
      </c>
      <c r="Z15" s="20" t="s">
        <v>44</v>
      </c>
      <c r="AA15" s="6">
        <v>2584</v>
      </c>
      <c r="AL15" s="18">
        <v>44197</v>
      </c>
      <c r="AM15" s="4" t="s">
        <v>171</v>
      </c>
      <c r="AN15" s="4" t="s">
        <v>33</v>
      </c>
      <c r="AO15" s="6">
        <v>2688</v>
      </c>
      <c r="AQ15" s="4" t="s">
        <v>175</v>
      </c>
      <c r="AW15" s="18">
        <v>44197</v>
      </c>
      <c r="AX15" s="4" t="s">
        <v>167</v>
      </c>
      <c r="AY15" s="4" t="s">
        <v>33</v>
      </c>
      <c r="AZ15" s="6">
        <v>2688</v>
      </c>
      <c r="BB15" s="4" t="s">
        <v>199</v>
      </c>
      <c r="BD15" s="2" t="s">
        <v>150</v>
      </c>
    </row>
    <row r="16" spans="1:56" ht="17.25" x14ac:dyDescent="0.3">
      <c r="L16" s="18">
        <v>44198</v>
      </c>
      <c r="M16" s="4" t="s">
        <v>173</v>
      </c>
      <c r="N16" s="19" t="s">
        <v>39</v>
      </c>
      <c r="O16" s="6">
        <v>2917</v>
      </c>
      <c r="X16" s="18">
        <v>44197</v>
      </c>
      <c r="Y16" s="4" t="s">
        <v>174</v>
      </c>
      <c r="Z16" s="21" t="s">
        <v>33</v>
      </c>
      <c r="AA16" s="6">
        <v>2688</v>
      </c>
      <c r="AL16" s="18">
        <v>44198</v>
      </c>
      <c r="AM16" s="4" t="s">
        <v>173</v>
      </c>
      <c r="AN16" s="4" t="s">
        <v>39</v>
      </c>
      <c r="AO16" s="6">
        <v>2917</v>
      </c>
      <c r="AQ16" s="4" t="s">
        <v>177</v>
      </c>
      <c r="AW16" s="18">
        <v>44198</v>
      </c>
      <c r="AX16" s="4" t="s">
        <v>167</v>
      </c>
      <c r="AY16" s="4" t="s">
        <v>39</v>
      </c>
      <c r="AZ16" s="6">
        <v>2917</v>
      </c>
      <c r="BB16" s="4" t="s">
        <v>201</v>
      </c>
      <c r="BD16" s="4" t="s">
        <v>151</v>
      </c>
    </row>
    <row r="17" spans="12:56" ht="17.25" x14ac:dyDescent="0.3">
      <c r="L17" s="18">
        <v>44199</v>
      </c>
      <c r="M17" s="4" t="s">
        <v>175</v>
      </c>
      <c r="N17" s="19" t="s">
        <v>33</v>
      </c>
      <c r="O17" s="6">
        <v>2941</v>
      </c>
      <c r="X17" s="18">
        <v>44198</v>
      </c>
      <c r="Y17" s="4" t="s">
        <v>176</v>
      </c>
      <c r="Z17" s="4" t="s">
        <v>39</v>
      </c>
      <c r="AA17" s="6">
        <v>2917</v>
      </c>
      <c r="AL17" s="18">
        <v>44199</v>
      </c>
      <c r="AM17" s="4" t="s">
        <v>175</v>
      </c>
      <c r="AN17" s="4" t="s">
        <v>33</v>
      </c>
      <c r="AO17" s="6">
        <v>2941</v>
      </c>
      <c r="AQ17" s="4" t="s">
        <v>179</v>
      </c>
      <c r="AW17" s="18">
        <v>44199</v>
      </c>
      <c r="AX17" s="4" t="s">
        <v>167</v>
      </c>
      <c r="AY17" s="4" t="s">
        <v>33</v>
      </c>
      <c r="AZ17" s="6">
        <v>2941</v>
      </c>
      <c r="BB17" s="4" t="s">
        <v>203</v>
      </c>
      <c r="BD17" s="4" t="s">
        <v>159</v>
      </c>
    </row>
    <row r="18" spans="12:56" ht="17.25" x14ac:dyDescent="0.3">
      <c r="L18" s="18">
        <v>44200</v>
      </c>
      <c r="M18" s="4" t="s">
        <v>177</v>
      </c>
      <c r="N18" s="19" t="s">
        <v>33</v>
      </c>
      <c r="O18" s="6">
        <v>3139</v>
      </c>
      <c r="X18" s="18">
        <v>44199</v>
      </c>
      <c r="Y18" s="4" t="s">
        <v>178</v>
      </c>
      <c r="Z18" s="21" t="s">
        <v>33</v>
      </c>
      <c r="AA18" s="6">
        <v>2941</v>
      </c>
      <c r="AL18" s="18">
        <v>44200</v>
      </c>
      <c r="AM18" s="4" t="s">
        <v>177</v>
      </c>
      <c r="AN18" s="4" t="s">
        <v>33</v>
      </c>
      <c r="AO18" s="6">
        <v>3139</v>
      </c>
      <c r="AQ18" s="4" t="s">
        <v>181</v>
      </c>
      <c r="AW18" s="18">
        <v>44200</v>
      </c>
      <c r="AX18" s="4" t="s">
        <v>177</v>
      </c>
      <c r="AY18" s="4" t="s">
        <v>33</v>
      </c>
      <c r="AZ18" s="6">
        <v>3139</v>
      </c>
      <c r="BB18" s="4" t="s">
        <v>205</v>
      </c>
      <c r="BD18" s="4" t="s">
        <v>167</v>
      </c>
    </row>
    <row r="19" spans="12:56" ht="17.25" x14ac:dyDescent="0.3">
      <c r="L19" s="18">
        <v>44201</v>
      </c>
      <c r="M19" s="4" t="s">
        <v>179</v>
      </c>
      <c r="N19" s="19" t="s">
        <v>33</v>
      </c>
      <c r="O19" s="6">
        <v>3149</v>
      </c>
      <c r="X19" s="18">
        <v>44200</v>
      </c>
      <c r="Y19" s="4" t="s">
        <v>180</v>
      </c>
      <c r="Z19" s="21" t="s">
        <v>33</v>
      </c>
      <c r="AA19" s="6">
        <v>3139</v>
      </c>
      <c r="AL19" s="18">
        <v>44201</v>
      </c>
      <c r="AM19" s="4" t="s">
        <v>179</v>
      </c>
      <c r="AN19" s="4" t="s">
        <v>33</v>
      </c>
      <c r="AO19" s="6">
        <v>3149</v>
      </c>
      <c r="AQ19" s="4" t="s">
        <v>183</v>
      </c>
      <c r="AW19" s="18">
        <v>44201</v>
      </c>
      <c r="AX19" s="4" t="s">
        <v>177</v>
      </c>
      <c r="AY19" s="4" t="s">
        <v>33</v>
      </c>
      <c r="AZ19" s="6">
        <v>3149</v>
      </c>
      <c r="BB19" s="4" t="s">
        <v>207</v>
      </c>
      <c r="BD19" s="4" t="s">
        <v>177</v>
      </c>
    </row>
    <row r="20" spans="12:56" ht="17.25" x14ac:dyDescent="0.3">
      <c r="L20" s="18">
        <v>44202</v>
      </c>
      <c r="M20" s="4" t="s">
        <v>181</v>
      </c>
      <c r="N20" s="19" t="s">
        <v>39</v>
      </c>
      <c r="O20" s="6">
        <v>3203</v>
      </c>
      <c r="X20" s="18">
        <v>44201</v>
      </c>
      <c r="Y20" s="4" t="s">
        <v>182</v>
      </c>
      <c r="Z20" s="21" t="s">
        <v>33</v>
      </c>
      <c r="AA20" s="6">
        <v>3149</v>
      </c>
      <c r="AL20" s="18">
        <v>44202</v>
      </c>
      <c r="AM20" s="4" t="s">
        <v>181</v>
      </c>
      <c r="AN20" s="4" t="s">
        <v>39</v>
      </c>
      <c r="AO20" s="6">
        <v>3203</v>
      </c>
      <c r="AQ20" s="4" t="s">
        <v>185</v>
      </c>
      <c r="AW20" s="18">
        <v>44202</v>
      </c>
      <c r="AX20" s="4" t="s">
        <v>177</v>
      </c>
      <c r="AY20" s="4" t="s">
        <v>39</v>
      </c>
      <c r="AZ20" s="6">
        <v>3203</v>
      </c>
      <c r="BB20" s="4" t="s">
        <v>209</v>
      </c>
      <c r="BD20" s="4" t="s">
        <v>187</v>
      </c>
    </row>
    <row r="21" spans="12:56" ht="17.25" x14ac:dyDescent="0.3">
      <c r="L21" s="18">
        <v>44203</v>
      </c>
      <c r="M21" s="4" t="s">
        <v>183</v>
      </c>
      <c r="N21" s="19" t="s">
        <v>33</v>
      </c>
      <c r="O21" s="6">
        <v>3292</v>
      </c>
      <c r="X21" s="18">
        <v>44202</v>
      </c>
      <c r="Y21" s="14" t="s">
        <v>184</v>
      </c>
      <c r="Z21" s="4" t="s">
        <v>39</v>
      </c>
      <c r="AA21" s="6">
        <v>3203</v>
      </c>
      <c r="AL21" s="18">
        <v>44203</v>
      </c>
      <c r="AM21" s="4" t="s">
        <v>183</v>
      </c>
      <c r="AN21" s="4" t="s">
        <v>33</v>
      </c>
      <c r="AO21" s="6">
        <v>3292</v>
      </c>
      <c r="AQ21" s="4" t="s">
        <v>187</v>
      </c>
      <c r="AW21" s="18">
        <v>44203</v>
      </c>
      <c r="AX21" s="4" t="s">
        <v>177</v>
      </c>
      <c r="AY21" s="4" t="s">
        <v>33</v>
      </c>
      <c r="AZ21" s="6">
        <v>3292</v>
      </c>
      <c r="BB21" s="4" t="s">
        <v>211</v>
      </c>
      <c r="BD21" s="4" t="s">
        <v>189</v>
      </c>
    </row>
    <row r="22" spans="12:56" ht="17.25" x14ac:dyDescent="0.3">
      <c r="L22" s="18">
        <v>44204</v>
      </c>
      <c r="M22" s="4" t="s">
        <v>185</v>
      </c>
      <c r="N22" s="19" t="s">
        <v>33</v>
      </c>
      <c r="O22" s="6">
        <v>3497</v>
      </c>
      <c r="X22" s="18">
        <v>44203</v>
      </c>
      <c r="Y22" s="4" t="s">
        <v>186</v>
      </c>
      <c r="Z22" s="21" t="s">
        <v>33</v>
      </c>
      <c r="AA22" s="6">
        <v>3292</v>
      </c>
      <c r="AL22" s="18">
        <v>44204</v>
      </c>
      <c r="AM22" s="4" t="s">
        <v>185</v>
      </c>
      <c r="AN22" s="4" t="s">
        <v>33</v>
      </c>
      <c r="AO22" s="6">
        <v>3497</v>
      </c>
      <c r="AQ22" s="4" t="s">
        <v>189</v>
      </c>
      <c r="AW22" s="18">
        <v>44204</v>
      </c>
      <c r="AX22" s="4" t="s">
        <v>177</v>
      </c>
      <c r="AY22" s="4" t="s">
        <v>33</v>
      </c>
      <c r="AZ22" s="6">
        <v>3497</v>
      </c>
      <c r="BB22" s="4" t="s">
        <v>213</v>
      </c>
      <c r="BD22" s="4" t="s">
        <v>191</v>
      </c>
    </row>
    <row r="23" spans="12:56" ht="17.25" x14ac:dyDescent="0.3">
      <c r="L23" s="18">
        <v>44205</v>
      </c>
      <c r="M23" s="4" t="s">
        <v>187</v>
      </c>
      <c r="N23" s="19" t="s">
        <v>39</v>
      </c>
      <c r="O23" s="6">
        <v>3790</v>
      </c>
      <c r="X23" s="18">
        <v>44204</v>
      </c>
      <c r="Y23" s="4" t="s">
        <v>188</v>
      </c>
      <c r="Z23" s="21" t="s">
        <v>33</v>
      </c>
      <c r="AA23" s="6">
        <v>3497</v>
      </c>
      <c r="AL23" s="18">
        <v>44205</v>
      </c>
      <c r="AM23" s="4" t="s">
        <v>187</v>
      </c>
      <c r="AN23" s="4" t="s">
        <v>39</v>
      </c>
      <c r="AO23" s="6">
        <v>3790</v>
      </c>
      <c r="AQ23" s="4" t="s">
        <v>191</v>
      </c>
      <c r="AW23" s="18">
        <v>44205</v>
      </c>
      <c r="AX23" s="4" t="s">
        <v>187</v>
      </c>
      <c r="AY23" s="4" t="s">
        <v>39</v>
      </c>
      <c r="AZ23" s="6">
        <v>3790</v>
      </c>
      <c r="BB23" s="4" t="s">
        <v>215</v>
      </c>
      <c r="BD23" s="4" t="s">
        <v>193</v>
      </c>
    </row>
    <row r="24" spans="12:56" ht="17.25" x14ac:dyDescent="0.3">
      <c r="L24" s="18">
        <v>44206</v>
      </c>
      <c r="M24" s="4" t="s">
        <v>189</v>
      </c>
      <c r="N24" s="19" t="s">
        <v>33</v>
      </c>
      <c r="O24" s="6">
        <v>3917</v>
      </c>
      <c r="X24" s="18">
        <v>44205</v>
      </c>
      <c r="Y24" s="14" t="s">
        <v>190</v>
      </c>
      <c r="Z24" s="4" t="s">
        <v>39</v>
      </c>
      <c r="AA24" s="6">
        <v>3790</v>
      </c>
      <c r="AL24" s="18">
        <v>44206</v>
      </c>
      <c r="AM24" s="4" t="s">
        <v>189</v>
      </c>
      <c r="AN24" s="4" t="s">
        <v>33</v>
      </c>
      <c r="AO24" s="6">
        <v>3917</v>
      </c>
      <c r="AQ24" s="4" t="s">
        <v>193</v>
      </c>
      <c r="AW24" s="18">
        <v>44206</v>
      </c>
      <c r="AX24" s="4" t="s">
        <v>189</v>
      </c>
      <c r="AY24" s="4" t="s">
        <v>33</v>
      </c>
      <c r="AZ24" s="6">
        <v>3917</v>
      </c>
      <c r="BB24" s="4" t="s">
        <v>217</v>
      </c>
      <c r="BD24" s="4" t="s">
        <v>195</v>
      </c>
    </row>
    <row r="25" spans="12:56" ht="17.25" x14ac:dyDescent="0.3">
      <c r="L25" s="18">
        <v>44207</v>
      </c>
      <c r="M25" s="4" t="s">
        <v>191</v>
      </c>
      <c r="N25" s="19" t="s">
        <v>48</v>
      </c>
      <c r="O25" s="6">
        <v>3934</v>
      </c>
      <c r="X25" s="18">
        <v>44206</v>
      </c>
      <c r="Y25" s="4" t="s">
        <v>192</v>
      </c>
      <c r="Z25" s="21" t="s">
        <v>33</v>
      </c>
      <c r="AA25" s="6">
        <v>3917</v>
      </c>
      <c r="AL25" s="18">
        <v>44207</v>
      </c>
      <c r="AM25" s="4" t="s">
        <v>191</v>
      </c>
      <c r="AN25" s="4" t="s">
        <v>48</v>
      </c>
      <c r="AO25" s="6">
        <v>3934</v>
      </c>
      <c r="AQ25" s="4" t="s">
        <v>195</v>
      </c>
      <c r="AW25" s="18">
        <v>44207</v>
      </c>
      <c r="AX25" s="4" t="s">
        <v>191</v>
      </c>
      <c r="AY25" s="4" t="s">
        <v>48</v>
      </c>
      <c r="AZ25" s="6">
        <v>3934</v>
      </c>
      <c r="BB25" s="4" t="s">
        <v>219</v>
      </c>
      <c r="BD25" s="4" t="s">
        <v>197</v>
      </c>
    </row>
    <row r="26" spans="12:56" ht="17.25" x14ac:dyDescent="0.3">
      <c r="L26" s="18">
        <v>44208</v>
      </c>
      <c r="M26" s="4" t="s">
        <v>193</v>
      </c>
      <c r="N26" s="19" t="s">
        <v>39</v>
      </c>
      <c r="O26" s="6">
        <v>4050</v>
      </c>
      <c r="X26" s="18">
        <v>44207</v>
      </c>
      <c r="Y26" s="4" t="s">
        <v>194</v>
      </c>
      <c r="Z26" s="4" t="s">
        <v>48</v>
      </c>
      <c r="AA26" s="6">
        <v>3934</v>
      </c>
      <c r="AL26" s="18">
        <v>44208</v>
      </c>
      <c r="AM26" s="4" t="s">
        <v>193</v>
      </c>
      <c r="AN26" s="4" t="s">
        <v>39</v>
      </c>
      <c r="AO26" s="6">
        <v>4050</v>
      </c>
      <c r="AQ26" s="4" t="s">
        <v>197</v>
      </c>
      <c r="AW26" s="18">
        <v>44208</v>
      </c>
      <c r="AX26" s="4" t="s">
        <v>193</v>
      </c>
      <c r="AY26" s="4" t="s">
        <v>39</v>
      </c>
      <c r="AZ26" s="6">
        <v>4050</v>
      </c>
      <c r="BB26" s="4" t="s">
        <v>221</v>
      </c>
      <c r="BD26" s="4" t="s">
        <v>199</v>
      </c>
    </row>
    <row r="27" spans="12:56" ht="17.25" x14ac:dyDescent="0.3">
      <c r="L27" s="18">
        <v>44209</v>
      </c>
      <c r="M27" s="4" t="s">
        <v>195</v>
      </c>
      <c r="N27" s="19" t="s">
        <v>48</v>
      </c>
      <c r="O27" s="6">
        <v>4600</v>
      </c>
      <c r="X27" s="18">
        <v>44208</v>
      </c>
      <c r="Y27" s="14" t="s">
        <v>196</v>
      </c>
      <c r="Z27" s="4" t="s">
        <v>39</v>
      </c>
      <c r="AA27" s="6">
        <v>4050</v>
      </c>
      <c r="AL27" s="18">
        <v>44209</v>
      </c>
      <c r="AM27" s="4" t="s">
        <v>195</v>
      </c>
      <c r="AN27" s="4" t="s">
        <v>48</v>
      </c>
      <c r="AO27" s="6">
        <v>4600</v>
      </c>
      <c r="AQ27" s="4" t="s">
        <v>199</v>
      </c>
      <c r="AW27" s="18">
        <v>44209</v>
      </c>
      <c r="AX27" s="4" t="s">
        <v>195</v>
      </c>
      <c r="AY27" s="4" t="s">
        <v>48</v>
      </c>
      <c r="AZ27" s="6">
        <v>4600</v>
      </c>
      <c r="BB27" s="4" t="s">
        <v>223</v>
      </c>
      <c r="BD27" s="4" t="s">
        <v>201</v>
      </c>
    </row>
    <row r="28" spans="12:56" ht="17.25" x14ac:dyDescent="0.3">
      <c r="L28" s="18">
        <v>44210</v>
      </c>
      <c r="M28" s="4" t="s">
        <v>197</v>
      </c>
      <c r="N28" s="19" t="s">
        <v>48</v>
      </c>
      <c r="O28" s="6">
        <v>4749</v>
      </c>
      <c r="X28" s="18">
        <v>44209</v>
      </c>
      <c r="Y28" s="4" t="s">
        <v>198</v>
      </c>
      <c r="Z28" s="4" t="s">
        <v>48</v>
      </c>
      <c r="AA28" s="6">
        <v>4600</v>
      </c>
      <c r="AL28" s="18">
        <v>44210</v>
      </c>
      <c r="AM28" s="4" t="s">
        <v>197</v>
      </c>
      <c r="AN28" s="4" t="s">
        <v>48</v>
      </c>
      <c r="AO28" s="6">
        <v>4749</v>
      </c>
      <c r="AQ28" s="4" t="s">
        <v>201</v>
      </c>
      <c r="AW28" s="18">
        <v>44210</v>
      </c>
      <c r="AX28" s="4" t="s">
        <v>197</v>
      </c>
      <c r="AY28" s="4" t="s">
        <v>48</v>
      </c>
      <c r="AZ28" s="6">
        <v>4749</v>
      </c>
      <c r="BB28" s="4" t="s">
        <v>224</v>
      </c>
      <c r="BD28" s="4" t="s">
        <v>203</v>
      </c>
    </row>
    <row r="29" spans="12:56" ht="17.25" x14ac:dyDescent="0.3">
      <c r="L29" s="18">
        <v>44211</v>
      </c>
      <c r="M29" s="4" t="s">
        <v>199</v>
      </c>
      <c r="N29" s="19" t="s">
        <v>44</v>
      </c>
      <c r="O29" s="6">
        <v>4779</v>
      </c>
      <c r="X29" s="18">
        <v>44210</v>
      </c>
      <c r="Y29" s="4" t="s">
        <v>200</v>
      </c>
      <c r="Z29" s="4" t="s">
        <v>48</v>
      </c>
      <c r="AA29" s="6">
        <v>4749</v>
      </c>
      <c r="AL29" s="18">
        <v>44211</v>
      </c>
      <c r="AM29" s="4" t="s">
        <v>199</v>
      </c>
      <c r="AN29" s="4" t="s">
        <v>44</v>
      </c>
      <c r="AO29" s="6">
        <v>4779</v>
      </c>
      <c r="AQ29" s="4" t="s">
        <v>203</v>
      </c>
      <c r="AW29" s="18">
        <v>44211</v>
      </c>
      <c r="AX29" s="4" t="s">
        <v>199</v>
      </c>
      <c r="AY29" s="4" t="s">
        <v>44</v>
      </c>
      <c r="AZ29" s="6">
        <v>4779</v>
      </c>
      <c r="BB29" s="4" t="s">
        <v>225</v>
      </c>
      <c r="BD29" s="4" t="s">
        <v>205</v>
      </c>
    </row>
    <row r="30" spans="12:56" ht="17.25" x14ac:dyDescent="0.3">
      <c r="L30" s="18">
        <v>44212</v>
      </c>
      <c r="M30" s="4" t="s">
        <v>201</v>
      </c>
      <c r="N30" s="19" t="s">
        <v>44</v>
      </c>
      <c r="O30" s="6">
        <v>5643</v>
      </c>
      <c r="X30" s="18">
        <v>44211</v>
      </c>
      <c r="Y30" s="4" t="s">
        <v>202</v>
      </c>
      <c r="Z30" s="20" t="s">
        <v>44</v>
      </c>
      <c r="AA30" s="6">
        <v>4779</v>
      </c>
      <c r="AL30" s="18">
        <v>44212</v>
      </c>
      <c r="AM30" s="4" t="s">
        <v>201</v>
      </c>
      <c r="AN30" s="4" t="s">
        <v>44</v>
      </c>
      <c r="AO30" s="6">
        <v>5643</v>
      </c>
      <c r="AQ30" s="4" t="s">
        <v>205</v>
      </c>
      <c r="AW30" s="18">
        <v>44212</v>
      </c>
      <c r="AX30" s="4" t="s">
        <v>201</v>
      </c>
      <c r="AY30" s="4" t="s">
        <v>44</v>
      </c>
      <c r="AZ30" s="6">
        <v>5643</v>
      </c>
      <c r="BD30" s="4" t="s">
        <v>207</v>
      </c>
    </row>
    <row r="31" spans="12:56" ht="17.25" x14ac:dyDescent="0.3">
      <c r="L31" s="18">
        <v>44213</v>
      </c>
      <c r="M31" s="4" t="s">
        <v>203</v>
      </c>
      <c r="N31" s="19" t="s">
        <v>44</v>
      </c>
      <c r="O31" s="6">
        <v>5954</v>
      </c>
      <c r="X31" s="18">
        <v>44212</v>
      </c>
      <c r="Y31" s="4" t="s">
        <v>204</v>
      </c>
      <c r="Z31" s="20" t="s">
        <v>44</v>
      </c>
      <c r="AA31" s="6">
        <v>5643</v>
      </c>
      <c r="AL31" s="18">
        <v>44213</v>
      </c>
      <c r="AM31" s="4" t="s">
        <v>203</v>
      </c>
      <c r="AN31" s="4" t="s">
        <v>44</v>
      </c>
      <c r="AO31" s="6">
        <v>5954</v>
      </c>
      <c r="AQ31" s="4" t="s">
        <v>207</v>
      </c>
      <c r="AW31" s="18">
        <v>44213</v>
      </c>
      <c r="AX31" s="4" t="s">
        <v>203</v>
      </c>
      <c r="AY31" s="4" t="s">
        <v>44</v>
      </c>
      <c r="AZ31" s="6">
        <v>5954</v>
      </c>
      <c r="BD31" s="4" t="s">
        <v>209</v>
      </c>
    </row>
    <row r="32" spans="12:56" ht="17.25" x14ac:dyDescent="0.3">
      <c r="L32" s="18">
        <v>44214</v>
      </c>
      <c r="M32" s="4" t="s">
        <v>205</v>
      </c>
      <c r="N32" s="19" t="s">
        <v>48</v>
      </c>
      <c r="O32" s="6">
        <v>6012</v>
      </c>
      <c r="X32" s="18">
        <v>44213</v>
      </c>
      <c r="Y32" s="4" t="s">
        <v>206</v>
      </c>
      <c r="Z32" s="20" t="s">
        <v>44</v>
      </c>
      <c r="AA32" s="6">
        <v>5954</v>
      </c>
      <c r="AL32" s="18">
        <v>44214</v>
      </c>
      <c r="AM32" s="4" t="s">
        <v>205</v>
      </c>
      <c r="AN32" s="4" t="s">
        <v>48</v>
      </c>
      <c r="AO32" s="6">
        <v>6012</v>
      </c>
      <c r="AQ32" s="4" t="s">
        <v>209</v>
      </c>
      <c r="AW32" s="18">
        <v>44214</v>
      </c>
      <c r="AX32" s="4" t="s">
        <v>205</v>
      </c>
      <c r="AY32" s="4" t="s">
        <v>48</v>
      </c>
      <c r="AZ32" s="6">
        <v>6012</v>
      </c>
      <c r="BD32" s="4" t="s">
        <v>211</v>
      </c>
    </row>
    <row r="33" spans="12:56" ht="17.25" x14ac:dyDescent="0.3">
      <c r="L33" s="18">
        <v>43119</v>
      </c>
      <c r="M33" s="4" t="s">
        <v>207</v>
      </c>
      <c r="N33" s="19" t="s">
        <v>44</v>
      </c>
      <c r="O33" s="6">
        <v>6176</v>
      </c>
      <c r="X33" s="18">
        <v>44214</v>
      </c>
      <c r="Y33" s="4" t="s">
        <v>208</v>
      </c>
      <c r="Z33" s="4" t="s">
        <v>48</v>
      </c>
      <c r="AA33" s="6">
        <v>6012</v>
      </c>
      <c r="AL33" s="18">
        <v>43119</v>
      </c>
      <c r="AM33" s="4" t="s">
        <v>207</v>
      </c>
      <c r="AN33" s="4" t="s">
        <v>44</v>
      </c>
      <c r="AO33" s="6">
        <v>6176</v>
      </c>
      <c r="AQ33" s="4" t="s">
        <v>211</v>
      </c>
      <c r="AW33" s="18">
        <v>43119</v>
      </c>
      <c r="AX33" s="4" t="s">
        <v>207</v>
      </c>
      <c r="AY33" s="4" t="s">
        <v>44</v>
      </c>
      <c r="AZ33" s="6">
        <v>6176</v>
      </c>
      <c r="BD33" s="4" t="s">
        <v>213</v>
      </c>
    </row>
    <row r="34" spans="12:56" ht="17.25" x14ac:dyDescent="0.3">
      <c r="L34" s="18">
        <v>43120</v>
      </c>
      <c r="M34" s="4" t="s">
        <v>209</v>
      </c>
      <c r="N34" s="19" t="s">
        <v>39</v>
      </c>
      <c r="O34" s="6">
        <v>6343</v>
      </c>
      <c r="X34" s="18">
        <v>43119</v>
      </c>
      <c r="Y34" s="4" t="s">
        <v>210</v>
      </c>
      <c r="Z34" s="20" t="s">
        <v>44</v>
      </c>
      <c r="AA34" s="6">
        <v>6176</v>
      </c>
      <c r="AL34" s="18">
        <v>43120</v>
      </c>
      <c r="AM34" s="4" t="s">
        <v>209</v>
      </c>
      <c r="AN34" s="4" t="s">
        <v>39</v>
      </c>
      <c r="AO34" s="6">
        <v>6343</v>
      </c>
      <c r="AQ34" s="4" t="s">
        <v>213</v>
      </c>
      <c r="AW34" s="18">
        <v>43120</v>
      </c>
      <c r="AX34" s="4" t="s">
        <v>209</v>
      </c>
      <c r="AY34" s="4" t="s">
        <v>39</v>
      </c>
      <c r="AZ34" s="6">
        <v>6343</v>
      </c>
      <c r="BD34" s="4" t="s">
        <v>215</v>
      </c>
    </row>
    <row r="35" spans="12:56" ht="17.25" x14ac:dyDescent="0.3">
      <c r="L35" s="18">
        <v>43121</v>
      </c>
      <c r="M35" s="4" t="s">
        <v>211</v>
      </c>
      <c r="N35" s="19" t="s">
        <v>39</v>
      </c>
      <c r="O35" s="6">
        <v>6837</v>
      </c>
      <c r="X35" s="18">
        <v>43120</v>
      </c>
      <c r="Y35" s="4" t="s">
        <v>212</v>
      </c>
      <c r="Z35" s="4" t="s">
        <v>39</v>
      </c>
      <c r="AA35" s="6">
        <v>6343</v>
      </c>
      <c r="AL35" s="18">
        <v>43121</v>
      </c>
      <c r="AM35" s="4" t="s">
        <v>211</v>
      </c>
      <c r="AN35" s="4" t="s">
        <v>39</v>
      </c>
      <c r="AO35" s="6">
        <v>6837</v>
      </c>
      <c r="AQ35" s="4" t="s">
        <v>215</v>
      </c>
      <c r="AW35" s="18">
        <v>43121</v>
      </c>
      <c r="AX35" s="4" t="s">
        <v>211</v>
      </c>
      <c r="AY35" s="4" t="s">
        <v>39</v>
      </c>
      <c r="AZ35" s="6">
        <v>6837</v>
      </c>
      <c r="BD35" s="4" t="s">
        <v>217</v>
      </c>
    </row>
    <row r="36" spans="12:56" ht="17.25" x14ac:dyDescent="0.3">
      <c r="L36" s="18">
        <v>43122</v>
      </c>
      <c r="M36" s="4" t="s">
        <v>213</v>
      </c>
      <c r="N36" s="19" t="s">
        <v>44</v>
      </c>
      <c r="O36" s="6">
        <v>6944</v>
      </c>
      <c r="X36" s="18">
        <v>43121</v>
      </c>
      <c r="Y36" s="4" t="s">
        <v>214</v>
      </c>
      <c r="Z36" s="4" t="s">
        <v>39</v>
      </c>
      <c r="AA36" s="6">
        <v>6837</v>
      </c>
      <c r="AL36" s="18">
        <v>43122</v>
      </c>
      <c r="AM36" s="4" t="s">
        <v>213</v>
      </c>
      <c r="AN36" s="4" t="s">
        <v>44</v>
      </c>
      <c r="AO36" s="6">
        <v>6944</v>
      </c>
      <c r="AQ36" s="4" t="s">
        <v>217</v>
      </c>
      <c r="AW36" s="18">
        <v>43122</v>
      </c>
      <c r="AX36" s="4" t="s">
        <v>213</v>
      </c>
      <c r="AY36" s="4" t="s">
        <v>44</v>
      </c>
      <c r="AZ36" s="6">
        <v>6944</v>
      </c>
      <c r="BD36" s="4" t="s">
        <v>219</v>
      </c>
    </row>
    <row r="37" spans="12:56" ht="17.25" x14ac:dyDescent="0.3">
      <c r="L37" s="18">
        <v>43123</v>
      </c>
      <c r="M37" s="4" t="s">
        <v>215</v>
      </c>
      <c r="N37" s="19" t="s">
        <v>48</v>
      </c>
      <c r="O37" s="6">
        <v>7166</v>
      </c>
      <c r="X37" s="18">
        <v>43122</v>
      </c>
      <c r="Y37" s="4" t="s">
        <v>216</v>
      </c>
      <c r="Z37" s="20" t="s">
        <v>44</v>
      </c>
      <c r="AA37" s="6">
        <v>6944</v>
      </c>
      <c r="AL37" s="18">
        <v>43123</v>
      </c>
      <c r="AM37" s="4" t="s">
        <v>215</v>
      </c>
      <c r="AN37" s="4" t="s">
        <v>48</v>
      </c>
      <c r="AO37" s="6">
        <v>7166</v>
      </c>
      <c r="AQ37" s="4" t="s">
        <v>219</v>
      </c>
      <c r="AW37" s="18">
        <v>43123</v>
      </c>
      <c r="AX37" s="4" t="s">
        <v>215</v>
      </c>
      <c r="AY37" s="4" t="s">
        <v>48</v>
      </c>
      <c r="AZ37" s="6">
        <v>7166</v>
      </c>
      <c r="BD37" s="4" t="s">
        <v>221</v>
      </c>
    </row>
    <row r="38" spans="12:56" ht="17.25" x14ac:dyDescent="0.3">
      <c r="L38" s="18">
        <v>43124</v>
      </c>
      <c r="M38" s="4" t="s">
        <v>217</v>
      </c>
      <c r="N38" s="19" t="s">
        <v>39</v>
      </c>
      <c r="O38" s="6">
        <v>8122</v>
      </c>
      <c r="X38" s="18">
        <v>43123</v>
      </c>
      <c r="Y38" s="4" t="s">
        <v>218</v>
      </c>
      <c r="Z38" s="4" t="s">
        <v>48</v>
      </c>
      <c r="AA38" s="6">
        <v>7166</v>
      </c>
      <c r="AL38" s="18">
        <v>43124</v>
      </c>
      <c r="AM38" s="4" t="s">
        <v>217</v>
      </c>
      <c r="AN38" s="4" t="s">
        <v>39</v>
      </c>
      <c r="AO38" s="6">
        <v>8122</v>
      </c>
      <c r="AQ38" s="4" t="s">
        <v>221</v>
      </c>
      <c r="AW38" s="18">
        <v>43124</v>
      </c>
      <c r="AX38" s="4" t="s">
        <v>217</v>
      </c>
      <c r="AY38" s="4" t="s">
        <v>39</v>
      </c>
      <c r="AZ38" s="6">
        <v>8122</v>
      </c>
      <c r="BD38" s="4" t="s">
        <v>223</v>
      </c>
    </row>
    <row r="39" spans="12:56" ht="17.25" x14ac:dyDescent="0.3">
      <c r="L39" s="18">
        <v>43490</v>
      </c>
      <c r="M39" s="4" t="s">
        <v>219</v>
      </c>
      <c r="N39" s="19" t="s">
        <v>33</v>
      </c>
      <c r="O39" s="6">
        <v>8356</v>
      </c>
      <c r="X39" s="18">
        <v>43124</v>
      </c>
      <c r="Y39" s="4" t="s">
        <v>220</v>
      </c>
      <c r="Z39" s="4" t="s">
        <v>39</v>
      </c>
      <c r="AA39" s="6">
        <v>8122</v>
      </c>
      <c r="AL39" s="18">
        <v>43490</v>
      </c>
      <c r="AM39" s="4" t="s">
        <v>219</v>
      </c>
      <c r="AN39" s="4" t="s">
        <v>33</v>
      </c>
      <c r="AO39" s="6">
        <v>8356</v>
      </c>
      <c r="AQ39" s="4" t="s">
        <v>223</v>
      </c>
      <c r="AW39" s="18">
        <v>43490</v>
      </c>
      <c r="AX39" s="4" t="s">
        <v>219</v>
      </c>
      <c r="AY39" s="4" t="s">
        <v>33</v>
      </c>
      <c r="AZ39" s="6">
        <v>8356</v>
      </c>
      <c r="BD39" s="4" t="s">
        <v>224</v>
      </c>
    </row>
    <row r="40" spans="12:56" ht="17.25" x14ac:dyDescent="0.3">
      <c r="L40" s="18">
        <v>43491</v>
      </c>
      <c r="M40" s="4" t="s">
        <v>221</v>
      </c>
      <c r="N40" s="19" t="s">
        <v>48</v>
      </c>
      <c r="O40" s="6">
        <v>8362</v>
      </c>
      <c r="X40" s="18">
        <v>43490</v>
      </c>
      <c r="Y40" s="4" t="s">
        <v>222</v>
      </c>
      <c r="Z40" s="21" t="s">
        <v>33</v>
      </c>
      <c r="AA40" s="6">
        <v>8356</v>
      </c>
      <c r="AL40" s="18">
        <v>43491</v>
      </c>
      <c r="AM40" s="4" t="s">
        <v>221</v>
      </c>
      <c r="AN40" s="4" t="s">
        <v>48</v>
      </c>
      <c r="AO40" s="6">
        <v>8362</v>
      </c>
      <c r="AQ40" s="4" t="s">
        <v>224</v>
      </c>
      <c r="AW40" s="18">
        <v>43491</v>
      </c>
      <c r="AX40" s="4" t="s">
        <v>221</v>
      </c>
      <c r="AY40" s="4" t="s">
        <v>48</v>
      </c>
      <c r="AZ40" s="6">
        <v>8362</v>
      </c>
      <c r="BD40" s="4" t="s">
        <v>225</v>
      </c>
    </row>
    <row r="41" spans="12:56" ht="17.25" x14ac:dyDescent="0.3">
      <c r="L41" s="18">
        <v>43492</v>
      </c>
      <c r="M41" s="4" t="s">
        <v>223</v>
      </c>
      <c r="N41" s="19" t="s">
        <v>48</v>
      </c>
      <c r="O41" s="6">
        <v>8691</v>
      </c>
      <c r="X41" s="18">
        <v>43491</v>
      </c>
      <c r="Y41" s="4" t="s">
        <v>222</v>
      </c>
      <c r="Z41" s="4" t="s">
        <v>48</v>
      </c>
      <c r="AA41" s="6">
        <v>8362</v>
      </c>
      <c r="AL41" s="18">
        <v>43492</v>
      </c>
      <c r="AM41" s="4" t="s">
        <v>223</v>
      </c>
      <c r="AN41" s="4" t="s">
        <v>48</v>
      </c>
      <c r="AO41" s="6">
        <v>8691</v>
      </c>
      <c r="AQ41" s="4" t="s">
        <v>225</v>
      </c>
      <c r="AW41" s="18">
        <v>43492</v>
      </c>
      <c r="AX41" s="4" t="s">
        <v>223</v>
      </c>
      <c r="AY41" s="4" t="s">
        <v>48</v>
      </c>
      <c r="AZ41" s="6">
        <v>8691</v>
      </c>
    </row>
    <row r="42" spans="12:56" ht="17.25" x14ac:dyDescent="0.3">
      <c r="L42" s="18">
        <v>43493</v>
      </c>
      <c r="M42" s="4" t="s">
        <v>224</v>
      </c>
      <c r="N42" s="19" t="s">
        <v>44</v>
      </c>
      <c r="O42" s="6">
        <v>9078</v>
      </c>
      <c r="X42" s="18">
        <v>43492</v>
      </c>
      <c r="Y42" s="4" t="s">
        <v>222</v>
      </c>
      <c r="Z42" s="4" t="s">
        <v>48</v>
      </c>
      <c r="AA42" s="6">
        <v>8691</v>
      </c>
      <c r="AL42" s="18">
        <v>43493</v>
      </c>
      <c r="AM42" s="4" t="s">
        <v>224</v>
      </c>
      <c r="AN42" s="4" t="s">
        <v>44</v>
      </c>
      <c r="AO42" s="6">
        <v>9078</v>
      </c>
      <c r="AW42" s="18">
        <v>43493</v>
      </c>
      <c r="AX42" s="4" t="s">
        <v>224</v>
      </c>
      <c r="AY42" s="4" t="s">
        <v>44</v>
      </c>
      <c r="AZ42" s="6">
        <v>9078</v>
      </c>
    </row>
    <row r="43" spans="12:56" ht="17.25" x14ac:dyDescent="0.3">
      <c r="L43" s="18">
        <v>43494</v>
      </c>
      <c r="M43" s="4" t="s">
        <v>225</v>
      </c>
      <c r="N43" s="19" t="s">
        <v>48</v>
      </c>
      <c r="O43" s="6">
        <v>9543</v>
      </c>
      <c r="X43" s="18">
        <v>43493</v>
      </c>
      <c r="Y43" s="4" t="s">
        <v>222</v>
      </c>
      <c r="Z43" s="20" t="s">
        <v>44</v>
      </c>
      <c r="AA43" s="6">
        <v>9078</v>
      </c>
      <c r="AL43" s="18">
        <v>43494</v>
      </c>
      <c r="AM43" s="4" t="s">
        <v>225</v>
      </c>
      <c r="AN43" s="4" t="s">
        <v>48</v>
      </c>
      <c r="AO43" s="6">
        <v>9543</v>
      </c>
      <c r="AW43" s="18">
        <v>43494</v>
      </c>
      <c r="AX43" s="4" t="s">
        <v>225</v>
      </c>
      <c r="AY43" s="4" t="s">
        <v>48</v>
      </c>
      <c r="AZ43" s="6">
        <v>9543</v>
      </c>
    </row>
    <row r="44" spans="12:56" ht="17.25" x14ac:dyDescent="0.3">
      <c r="X44" s="18">
        <v>43494</v>
      </c>
      <c r="Y44" s="4" t="s">
        <v>222</v>
      </c>
      <c r="Z44" s="4" t="s">
        <v>48</v>
      </c>
      <c r="AA44" s="6">
        <v>9543</v>
      </c>
    </row>
  </sheetData>
  <mergeCells count="4">
    <mergeCell ref="L2:O2"/>
    <mergeCell ref="X2:AA2"/>
    <mergeCell ref="AL2:AO2"/>
    <mergeCell ref="AW2:AZ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4B2C5-32F0-4F4A-91BA-095378DC161B}">
  <dimension ref="A1:J18"/>
  <sheetViews>
    <sheetView showGridLines="0" topLeftCell="A3" zoomScale="120" zoomScaleNormal="120" workbookViewId="0">
      <selection activeCell="B11" sqref="B11"/>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5.42578125" style="1" customWidth="1"/>
    <col min="6" max="6" width="8.85546875" style="1"/>
    <col min="7" max="7" width="17.7109375" style="1" customWidth="1"/>
    <col min="8" max="16384" width="8.85546875" style="1"/>
  </cols>
  <sheetData>
    <row r="1" spans="1:10" x14ac:dyDescent="0.3">
      <c r="A1" s="61" t="s">
        <v>241</v>
      </c>
      <c r="B1" s="62"/>
      <c r="C1" s="62"/>
      <c r="D1" s="63"/>
    </row>
    <row r="2" spans="1:10" ht="4.1500000000000004" customHeight="1" x14ac:dyDescent="0.3">
      <c r="A2" s="22"/>
      <c r="B2" s="22"/>
      <c r="C2" s="22"/>
      <c r="D2" s="22"/>
    </row>
    <row r="3" spans="1:10" x14ac:dyDescent="0.3">
      <c r="A3" s="16" t="s">
        <v>150</v>
      </c>
      <c r="B3"/>
      <c r="C3"/>
      <c r="D3"/>
    </row>
    <row r="4" spans="1:10" x14ac:dyDescent="0.3">
      <c r="A4" s="23" t="s">
        <v>151</v>
      </c>
      <c r="B4"/>
      <c r="C4"/>
      <c r="D4"/>
    </row>
    <row r="5" spans="1:10" x14ac:dyDescent="0.3">
      <c r="A5" s="27"/>
      <c r="B5" s="27"/>
      <c r="C5" s="28"/>
      <c r="D5" s="28"/>
      <c r="F5" s="50"/>
      <c r="G5" s="50"/>
      <c r="H5" s="50"/>
      <c r="I5" s="50"/>
      <c r="J5" s="50"/>
    </row>
    <row r="6" spans="1:10" x14ac:dyDescent="0.3">
      <c r="A6" s="61" t="s">
        <v>228</v>
      </c>
      <c r="B6" s="62"/>
      <c r="C6" s="62"/>
      <c r="D6" s="63"/>
      <c r="F6" s="51"/>
      <c r="G6" s="52"/>
      <c r="H6" s="51"/>
      <c r="I6" s="53"/>
      <c r="J6" s="50"/>
    </row>
    <row r="7" spans="1:10" ht="23.45" customHeight="1" x14ac:dyDescent="0.3">
      <c r="F7" s="50"/>
      <c r="G7" s="50"/>
      <c r="H7" s="54"/>
      <c r="I7" s="54"/>
      <c r="J7" s="50"/>
    </row>
    <row r="8" spans="1:10" x14ac:dyDescent="0.3">
      <c r="A8" s="16" t="s">
        <v>150</v>
      </c>
      <c r="B8" s="2" t="s">
        <v>227</v>
      </c>
      <c r="C8" s="17" t="s">
        <v>8</v>
      </c>
      <c r="D8" s="3" t="s">
        <v>148</v>
      </c>
      <c r="F8" s="16" t="s">
        <v>150</v>
      </c>
      <c r="G8" s="2" t="s">
        <v>227</v>
      </c>
      <c r="H8" s="17" t="s">
        <v>8</v>
      </c>
      <c r="I8" s="3" t="s">
        <v>148</v>
      </c>
      <c r="J8" s="50"/>
    </row>
    <row r="9" spans="1:10" x14ac:dyDescent="0.3">
      <c r="A9" s="4" t="s">
        <v>151</v>
      </c>
      <c r="B9" s="4" t="s">
        <v>229</v>
      </c>
      <c r="C9" s="6" t="s">
        <v>44</v>
      </c>
      <c r="D9" s="6">
        <v>259</v>
      </c>
      <c r="F9" s="4" t="s">
        <v>151</v>
      </c>
      <c r="G9" s="4" t="s">
        <v>229</v>
      </c>
      <c r="H9" s="6" t="s">
        <v>44</v>
      </c>
      <c r="I9" s="6">
        <v>259</v>
      </c>
      <c r="J9" s="50"/>
    </row>
    <row r="10" spans="1:10" x14ac:dyDescent="0.3">
      <c r="A10" s="4" t="s">
        <v>151</v>
      </c>
      <c r="B10" s="4" t="s">
        <v>230</v>
      </c>
      <c r="C10" s="6" t="s">
        <v>44</v>
      </c>
      <c r="D10" s="6">
        <v>807</v>
      </c>
      <c r="F10" s="4" t="s">
        <v>151</v>
      </c>
      <c r="G10" s="4" t="s">
        <v>230</v>
      </c>
      <c r="H10" s="6" t="s">
        <v>44</v>
      </c>
      <c r="I10" s="6">
        <v>807</v>
      </c>
    </row>
    <row r="11" spans="1:10" x14ac:dyDescent="0.3">
      <c r="A11" s="4" t="s">
        <v>151</v>
      </c>
      <c r="B11" s="4" t="s">
        <v>231</v>
      </c>
      <c r="C11" s="6" t="s">
        <v>44</v>
      </c>
      <c r="D11" s="6">
        <v>1345</v>
      </c>
      <c r="F11" s="4" t="s">
        <v>151</v>
      </c>
      <c r="G11" s="4" t="s">
        <v>231</v>
      </c>
      <c r="H11" s="6" t="s">
        <v>44</v>
      </c>
      <c r="I11" s="6">
        <v>1345</v>
      </c>
    </row>
    <row r="12" spans="1:10" x14ac:dyDescent="0.3">
      <c r="A12" s="4" t="s">
        <v>157</v>
      </c>
      <c r="B12" s="4" t="s">
        <v>232</v>
      </c>
      <c r="C12" s="6" t="s">
        <v>48</v>
      </c>
      <c r="D12" s="6">
        <v>1403</v>
      </c>
    </row>
    <row r="13" spans="1:10" x14ac:dyDescent="0.3">
      <c r="A13" s="4" t="s">
        <v>159</v>
      </c>
      <c r="B13" s="4" t="s">
        <v>233</v>
      </c>
      <c r="C13" s="6" t="s">
        <v>48</v>
      </c>
      <c r="D13" s="6">
        <v>1429</v>
      </c>
    </row>
    <row r="14" spans="1:10" x14ac:dyDescent="0.3">
      <c r="A14" s="4" t="s">
        <v>161</v>
      </c>
      <c r="B14" s="4" t="s">
        <v>234</v>
      </c>
      <c r="C14" s="6" t="s">
        <v>39</v>
      </c>
      <c r="D14" s="6">
        <v>1618</v>
      </c>
    </row>
    <row r="15" spans="1:10" x14ac:dyDescent="0.3">
      <c r="A15" s="4" t="s">
        <v>163</v>
      </c>
      <c r="B15" s="4" t="s">
        <v>235</v>
      </c>
      <c r="C15" s="6" t="s">
        <v>44</v>
      </c>
      <c r="D15" s="6">
        <v>1650</v>
      </c>
    </row>
    <row r="16" spans="1:10" x14ac:dyDescent="0.3">
      <c r="A16" s="4" t="s">
        <v>240</v>
      </c>
      <c r="B16" s="4" t="s">
        <v>236</v>
      </c>
      <c r="C16" s="6" t="s">
        <v>44</v>
      </c>
      <c r="D16" s="6">
        <v>1745</v>
      </c>
    </row>
    <row r="17" spans="1:4" x14ac:dyDescent="0.3">
      <c r="A17" s="4" t="s">
        <v>165</v>
      </c>
      <c r="B17" s="4" t="s">
        <v>237</v>
      </c>
      <c r="C17" s="6" t="s">
        <v>33</v>
      </c>
      <c r="D17" s="6">
        <v>2227</v>
      </c>
    </row>
    <row r="18" spans="1:4" x14ac:dyDescent="0.3">
      <c r="A18" s="4" t="s">
        <v>167</v>
      </c>
      <c r="B18" s="4" t="s">
        <v>238</v>
      </c>
      <c r="C18" s="6" t="s">
        <v>39</v>
      </c>
      <c r="D18" s="6">
        <v>2436</v>
      </c>
    </row>
  </sheetData>
  <mergeCells count="2">
    <mergeCell ref="A1:D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9983-1860-4BCC-BBB1-4A33835EDD3A}">
  <dimension ref="A1:J18"/>
  <sheetViews>
    <sheetView showGridLines="0" topLeftCell="A3" zoomScale="120" zoomScaleNormal="120" workbookViewId="0">
      <selection activeCell="B12" sqref="B12"/>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3.28515625" style="1" customWidth="1"/>
    <col min="6" max="6" width="17.140625" style="1" customWidth="1"/>
    <col min="7" max="7" width="17.5703125" style="1" customWidth="1"/>
    <col min="8" max="16384" width="8.85546875" style="1"/>
  </cols>
  <sheetData>
    <row r="1" spans="1:10" ht="19.149999999999999" customHeight="1" x14ac:dyDescent="0.3">
      <c r="A1" s="64" t="s">
        <v>226</v>
      </c>
      <c r="B1" s="64"/>
      <c r="C1" s="64"/>
      <c r="D1" s="64"/>
    </row>
    <row r="2" spans="1:10" ht="4.1500000000000004" customHeight="1" x14ac:dyDescent="0.3">
      <c r="A2" s="22"/>
      <c r="B2" s="22"/>
      <c r="C2" s="22"/>
      <c r="D2" s="22"/>
    </row>
    <row r="3" spans="1:10" x14ac:dyDescent="0.3">
      <c r="A3" s="16" t="s">
        <v>150</v>
      </c>
      <c r="B3" s="2" t="s">
        <v>227</v>
      </c>
      <c r="C3" s="17" t="s">
        <v>8</v>
      </c>
      <c r="D3" s="3" t="s">
        <v>148</v>
      </c>
    </row>
    <row r="4" spans="1:10" x14ac:dyDescent="0.3">
      <c r="A4" s="4" t="s">
        <v>151</v>
      </c>
      <c r="B4" s="24"/>
      <c r="C4" s="25" t="s">
        <v>44</v>
      </c>
      <c r="D4" s="30" t="s">
        <v>239</v>
      </c>
    </row>
    <row r="5" spans="1:10" x14ac:dyDescent="0.3">
      <c r="A5" s="31"/>
      <c r="B5" s="31"/>
      <c r="C5" s="32"/>
      <c r="D5" s="32"/>
    </row>
    <row r="6" spans="1:10" ht="19.149999999999999" customHeight="1" x14ac:dyDescent="0.3">
      <c r="A6" s="64" t="s">
        <v>228</v>
      </c>
      <c r="B6" s="64"/>
      <c r="C6" s="64"/>
      <c r="D6" s="64"/>
      <c r="F6" s="50"/>
      <c r="G6" s="50"/>
      <c r="H6" s="50"/>
      <c r="I6" s="50"/>
      <c r="J6" s="50"/>
    </row>
    <row r="7" spans="1:10" ht="17.25" customHeight="1" x14ac:dyDescent="0.3">
      <c r="F7" s="50"/>
      <c r="G7" s="50"/>
      <c r="H7" s="50"/>
      <c r="I7" s="50"/>
      <c r="J7" s="50"/>
    </row>
    <row r="8" spans="1:10" x14ac:dyDescent="0.3">
      <c r="A8" s="16" t="s">
        <v>150</v>
      </c>
      <c r="B8" s="2" t="s">
        <v>227</v>
      </c>
      <c r="C8" s="17" t="s">
        <v>8</v>
      </c>
      <c r="D8" s="3" t="s">
        <v>148</v>
      </c>
      <c r="F8" s="16" t="s">
        <v>150</v>
      </c>
      <c r="G8" s="2" t="s">
        <v>227</v>
      </c>
      <c r="H8" s="17" t="s">
        <v>8</v>
      </c>
      <c r="I8" s="3" t="s">
        <v>148</v>
      </c>
      <c r="J8" s="50"/>
    </row>
    <row r="9" spans="1:10" x14ac:dyDescent="0.3">
      <c r="A9" s="4" t="s">
        <v>151</v>
      </c>
      <c r="B9" s="4" t="s">
        <v>229</v>
      </c>
      <c r="C9" s="6" t="s">
        <v>44</v>
      </c>
      <c r="D9" s="6">
        <v>259</v>
      </c>
      <c r="F9" s="4" t="s">
        <v>151</v>
      </c>
      <c r="G9" s="4" t="s">
        <v>231</v>
      </c>
      <c r="H9" s="6" t="s">
        <v>44</v>
      </c>
      <c r="I9" s="6">
        <v>1345</v>
      </c>
      <c r="J9" s="50"/>
    </row>
    <row r="10" spans="1:10" x14ac:dyDescent="0.3">
      <c r="A10" s="4" t="s">
        <v>151</v>
      </c>
      <c r="B10" s="4" t="s">
        <v>230</v>
      </c>
      <c r="C10" s="6" t="s">
        <v>44</v>
      </c>
      <c r="D10" s="6">
        <v>807</v>
      </c>
      <c r="F10" s="4" t="s">
        <v>151</v>
      </c>
      <c r="G10" s="4" t="s">
        <v>232</v>
      </c>
      <c r="H10" s="6" t="s">
        <v>44</v>
      </c>
      <c r="I10" s="6">
        <v>1403</v>
      </c>
      <c r="J10" s="50"/>
    </row>
    <row r="11" spans="1:10" x14ac:dyDescent="0.3">
      <c r="A11" s="4" t="s">
        <v>151</v>
      </c>
      <c r="B11" s="4" t="s">
        <v>231</v>
      </c>
      <c r="C11" s="6" t="s">
        <v>44</v>
      </c>
      <c r="D11" s="6">
        <v>1345</v>
      </c>
    </row>
    <row r="12" spans="1:10" x14ac:dyDescent="0.3">
      <c r="A12" s="4" t="s">
        <v>151</v>
      </c>
      <c r="B12" s="4" t="s">
        <v>232</v>
      </c>
      <c r="C12" s="6" t="s">
        <v>44</v>
      </c>
      <c r="D12" s="6">
        <v>1403</v>
      </c>
    </row>
    <row r="13" spans="1:10" x14ac:dyDescent="0.3">
      <c r="A13" s="4" t="s">
        <v>159</v>
      </c>
      <c r="B13" s="4" t="s">
        <v>233</v>
      </c>
      <c r="C13" s="6" t="s">
        <v>48</v>
      </c>
      <c r="D13" s="6">
        <v>1429</v>
      </c>
    </row>
    <row r="14" spans="1:10" x14ac:dyDescent="0.3">
      <c r="A14" s="4" t="s">
        <v>161</v>
      </c>
      <c r="B14" s="4" t="s">
        <v>234</v>
      </c>
      <c r="C14" s="6" t="s">
        <v>39</v>
      </c>
      <c r="D14" s="6">
        <v>1618</v>
      </c>
    </row>
    <row r="15" spans="1:10" x14ac:dyDescent="0.3">
      <c r="A15" s="4" t="s">
        <v>163</v>
      </c>
      <c r="B15" s="4" t="s">
        <v>235</v>
      </c>
      <c r="C15" s="6" t="s">
        <v>44</v>
      </c>
      <c r="D15" s="6">
        <v>1650</v>
      </c>
    </row>
    <row r="16" spans="1:10" x14ac:dyDescent="0.3">
      <c r="A16" s="4" t="s">
        <v>240</v>
      </c>
      <c r="B16" s="4" t="s">
        <v>236</v>
      </c>
      <c r="C16" s="6" t="s">
        <v>44</v>
      </c>
      <c r="D16" s="6">
        <v>1745</v>
      </c>
    </row>
    <row r="17" spans="1:4" x14ac:dyDescent="0.3">
      <c r="A17" s="4" t="s">
        <v>165</v>
      </c>
      <c r="B17" s="4" t="s">
        <v>237</v>
      </c>
      <c r="C17" s="6" t="s">
        <v>33</v>
      </c>
      <c r="D17" s="6">
        <v>2227</v>
      </c>
    </row>
    <row r="18" spans="1:4" x14ac:dyDescent="0.3">
      <c r="A18" s="4" t="s">
        <v>167</v>
      </c>
      <c r="B18" s="4" t="s">
        <v>238</v>
      </c>
      <c r="C18" s="6" t="s">
        <v>39</v>
      </c>
      <c r="D18" s="6">
        <v>2436</v>
      </c>
    </row>
  </sheetData>
  <mergeCells count="2">
    <mergeCell ref="A1:D1"/>
    <mergeCell ref="A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A513-0781-4D2E-B585-28D07F94A447}">
  <dimension ref="A1:J19"/>
  <sheetViews>
    <sheetView showGridLines="0" topLeftCell="A3" zoomScale="120" zoomScaleNormal="120" workbookViewId="0">
      <selection activeCell="F13" sqref="F13"/>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3.28515625" style="1" customWidth="1"/>
    <col min="6" max="6" width="11.140625" style="1" customWidth="1"/>
    <col min="7" max="7" width="9" style="1" bestFit="1" customWidth="1"/>
    <col min="8" max="16384" width="8.85546875" style="1"/>
  </cols>
  <sheetData>
    <row r="1" spans="1:10" ht="19.149999999999999" customHeight="1" x14ac:dyDescent="0.3">
      <c r="A1" s="64" t="s">
        <v>226</v>
      </c>
      <c r="B1" s="64"/>
      <c r="C1" s="64"/>
      <c r="D1" s="64"/>
    </row>
    <row r="2" spans="1:10" ht="4.1500000000000004" customHeight="1" x14ac:dyDescent="0.3">
      <c r="A2" s="22"/>
      <c r="B2" s="22"/>
      <c r="C2" s="22"/>
      <c r="D2" s="22"/>
    </row>
    <row r="3" spans="1:10" x14ac:dyDescent="0.3">
      <c r="A3" s="33" t="s">
        <v>150</v>
      </c>
      <c r="B3" s="33" t="s">
        <v>227</v>
      </c>
      <c r="C3" s="33" t="s">
        <v>8</v>
      </c>
      <c r="D3" s="33" t="s">
        <v>148</v>
      </c>
    </row>
    <row r="4" spans="1:10" x14ac:dyDescent="0.3">
      <c r="A4" s="4" t="s">
        <v>151</v>
      </c>
      <c r="B4" s="24"/>
      <c r="C4" s="25" t="s">
        <v>44</v>
      </c>
      <c r="D4" s="26"/>
    </row>
    <row r="5" spans="1:10" x14ac:dyDescent="0.3">
      <c r="A5" s="4" t="s">
        <v>153</v>
      </c>
      <c r="B5" s="24"/>
      <c r="C5" s="6" t="s">
        <v>283</v>
      </c>
      <c r="D5" s="26"/>
    </row>
    <row r="6" spans="1:10" ht="15.75" customHeight="1" x14ac:dyDescent="0.3">
      <c r="A6" s="31"/>
      <c r="B6" s="31"/>
      <c r="C6" s="32"/>
      <c r="D6" s="32"/>
    </row>
    <row r="7" spans="1:10" ht="19.149999999999999" customHeight="1" x14ac:dyDescent="0.3">
      <c r="A7" s="64" t="s">
        <v>228</v>
      </c>
      <c r="B7" s="64"/>
      <c r="C7" s="64"/>
      <c r="D7" s="64"/>
      <c r="F7" s="50"/>
      <c r="G7" s="50"/>
      <c r="H7" s="50"/>
      <c r="I7" s="50"/>
      <c r="J7" s="50"/>
    </row>
    <row r="8" spans="1:10" ht="18" customHeight="1" x14ac:dyDescent="0.3">
      <c r="F8" s="50"/>
      <c r="G8" s="50"/>
      <c r="H8" s="50"/>
      <c r="I8" s="50"/>
      <c r="J8" s="50"/>
    </row>
    <row r="9" spans="1:10" x14ac:dyDescent="0.3">
      <c r="A9" s="2" t="s">
        <v>150</v>
      </c>
      <c r="B9" s="2" t="s">
        <v>227</v>
      </c>
      <c r="C9" s="3" t="s">
        <v>8</v>
      </c>
      <c r="D9" s="3" t="s">
        <v>148</v>
      </c>
      <c r="F9" s="2" t="s">
        <v>150</v>
      </c>
      <c r="G9" s="2" t="s">
        <v>227</v>
      </c>
      <c r="H9" s="3" t="s">
        <v>8</v>
      </c>
      <c r="I9" s="3" t="s">
        <v>148</v>
      </c>
      <c r="J9" s="50"/>
    </row>
    <row r="10" spans="1:10" x14ac:dyDescent="0.3">
      <c r="A10" s="4" t="s">
        <v>151</v>
      </c>
      <c r="B10" s="4" t="s">
        <v>229</v>
      </c>
      <c r="C10" s="6" t="s">
        <v>44</v>
      </c>
      <c r="D10" s="6">
        <v>259</v>
      </c>
      <c r="F10" s="4" t="s">
        <v>151</v>
      </c>
      <c r="G10" s="4" t="s">
        <v>229</v>
      </c>
      <c r="H10" s="6" t="s">
        <v>44</v>
      </c>
      <c r="I10" s="6">
        <v>259</v>
      </c>
      <c r="J10" s="50"/>
    </row>
    <row r="11" spans="1:10" x14ac:dyDescent="0.3">
      <c r="A11" s="4" t="s">
        <v>153</v>
      </c>
      <c r="B11" s="4" t="s">
        <v>230</v>
      </c>
      <c r="C11" s="6" t="s">
        <v>44</v>
      </c>
      <c r="D11" s="6">
        <v>807</v>
      </c>
      <c r="F11" s="50"/>
      <c r="G11" s="50"/>
      <c r="H11" s="54"/>
      <c r="I11" s="54"/>
      <c r="J11" s="50"/>
    </row>
    <row r="12" spans="1:10" x14ac:dyDescent="0.3">
      <c r="A12" s="4" t="s">
        <v>155</v>
      </c>
      <c r="B12" s="4" t="s">
        <v>231</v>
      </c>
      <c r="C12" s="6" t="s">
        <v>44</v>
      </c>
      <c r="D12" s="6">
        <v>1345</v>
      </c>
    </row>
    <row r="13" spans="1:10" x14ac:dyDescent="0.3">
      <c r="A13" s="4" t="s">
        <v>157</v>
      </c>
      <c r="B13" s="4" t="s">
        <v>232</v>
      </c>
      <c r="C13" s="6" t="s">
        <v>48</v>
      </c>
      <c r="D13" s="6">
        <v>1403</v>
      </c>
    </row>
    <row r="14" spans="1:10" x14ac:dyDescent="0.3">
      <c r="A14" s="4" t="s">
        <v>159</v>
      </c>
      <c r="B14" s="4" t="s">
        <v>233</v>
      </c>
      <c r="C14" s="6" t="s">
        <v>48</v>
      </c>
      <c r="D14" s="6">
        <v>1429</v>
      </c>
    </row>
    <row r="15" spans="1:10" x14ac:dyDescent="0.3">
      <c r="A15" s="4" t="s">
        <v>161</v>
      </c>
      <c r="B15" s="4" t="s">
        <v>234</v>
      </c>
      <c r="C15" s="6" t="s">
        <v>39</v>
      </c>
      <c r="D15" s="6">
        <v>1618</v>
      </c>
    </row>
    <row r="16" spans="1:10" x14ac:dyDescent="0.3">
      <c r="A16" s="4" t="s">
        <v>163</v>
      </c>
      <c r="B16" s="4" t="s">
        <v>235</v>
      </c>
      <c r="C16" s="6" t="s">
        <v>44</v>
      </c>
      <c r="D16" s="6">
        <v>1650</v>
      </c>
    </row>
    <row r="17" spans="1:4" x14ac:dyDescent="0.3">
      <c r="A17" s="4" t="s">
        <v>240</v>
      </c>
      <c r="B17" s="4" t="s">
        <v>236</v>
      </c>
      <c r="C17" s="6" t="s">
        <v>44</v>
      </c>
      <c r="D17" s="6">
        <v>1745</v>
      </c>
    </row>
    <row r="18" spans="1:4" x14ac:dyDescent="0.3">
      <c r="A18" s="4" t="s">
        <v>165</v>
      </c>
      <c r="B18" s="4" t="s">
        <v>237</v>
      </c>
      <c r="C18" s="6" t="s">
        <v>33</v>
      </c>
      <c r="D18" s="6">
        <v>2227</v>
      </c>
    </row>
    <row r="19" spans="1:4" x14ac:dyDescent="0.3">
      <c r="A19" s="4" t="s">
        <v>167</v>
      </c>
      <c r="B19" s="4" t="s">
        <v>238</v>
      </c>
      <c r="C19" s="6" t="s">
        <v>39</v>
      </c>
      <c r="D19" s="6">
        <v>2436</v>
      </c>
    </row>
  </sheetData>
  <mergeCells count="2">
    <mergeCell ref="A1:D1"/>
    <mergeCell ref="A7:D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D962-DF05-44CB-BACB-2D3B884145D5}">
  <dimension ref="A1:I18"/>
  <sheetViews>
    <sheetView showGridLines="0" zoomScale="120" zoomScaleNormal="120" workbookViewId="0">
      <selection activeCell="F14" sqref="F14"/>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3.28515625" style="1" customWidth="1"/>
    <col min="6" max="6" width="15.7109375" style="1" customWidth="1"/>
    <col min="7" max="7" width="21.7109375" style="1" customWidth="1"/>
    <col min="8" max="9" width="15.7109375" style="1" customWidth="1"/>
    <col min="10" max="16384" width="8.85546875" style="1"/>
  </cols>
  <sheetData>
    <row r="1" spans="1:9" x14ac:dyDescent="0.3">
      <c r="A1" s="61" t="s">
        <v>241</v>
      </c>
      <c r="B1" s="62"/>
      <c r="C1" s="62"/>
      <c r="D1" s="63"/>
    </row>
    <row r="2" spans="1:9" ht="4.1500000000000004" customHeight="1" x14ac:dyDescent="0.3">
      <c r="A2" s="22"/>
      <c r="B2" s="22"/>
      <c r="C2" s="22"/>
      <c r="D2" s="22"/>
    </row>
    <row r="3" spans="1:9" x14ac:dyDescent="0.3">
      <c r="A3" s="16" t="s">
        <v>150</v>
      </c>
      <c r="B3"/>
      <c r="C3"/>
      <c r="D3"/>
    </row>
    <row r="4" spans="1:9" x14ac:dyDescent="0.3">
      <c r="A4" s="23" t="s">
        <v>167</v>
      </c>
      <c r="B4"/>
      <c r="C4"/>
      <c r="D4"/>
    </row>
    <row r="5" spans="1:9" x14ac:dyDescent="0.3">
      <c r="A5" s="27"/>
      <c r="B5" s="27"/>
      <c r="C5" s="28"/>
      <c r="D5" s="28"/>
    </row>
    <row r="6" spans="1:9" x14ac:dyDescent="0.3">
      <c r="A6" s="61" t="s">
        <v>228</v>
      </c>
      <c r="B6" s="62"/>
      <c r="C6" s="62"/>
      <c r="D6" s="63"/>
    </row>
    <row r="7" spans="1:9" ht="4.5" customHeight="1" x14ac:dyDescent="0.3"/>
    <row r="8" spans="1:9" x14ac:dyDescent="0.3">
      <c r="A8" s="16" t="s">
        <v>150</v>
      </c>
      <c r="B8" s="2" t="s">
        <v>227</v>
      </c>
      <c r="C8" s="17" t="s">
        <v>8</v>
      </c>
      <c r="D8" s="3" t="s">
        <v>148</v>
      </c>
      <c r="F8" s="16" t="s">
        <v>150</v>
      </c>
      <c r="G8" s="2" t="s">
        <v>227</v>
      </c>
      <c r="H8" s="17" t="s">
        <v>8</v>
      </c>
      <c r="I8" s="3" t="s">
        <v>148</v>
      </c>
    </row>
    <row r="9" spans="1:9" x14ac:dyDescent="0.3">
      <c r="A9" s="4" t="s">
        <v>151</v>
      </c>
      <c r="B9" s="4" t="s">
        <v>229</v>
      </c>
      <c r="C9" s="6" t="s">
        <v>44</v>
      </c>
      <c r="D9" s="6">
        <v>259</v>
      </c>
      <c r="F9" s="4" t="s">
        <v>167</v>
      </c>
      <c r="G9" s="4" t="s">
        <v>238</v>
      </c>
      <c r="H9" s="6" t="s">
        <v>39</v>
      </c>
      <c r="I9" s="6">
        <v>2436</v>
      </c>
    </row>
    <row r="10" spans="1:9" x14ac:dyDescent="0.3">
      <c r="A10" s="4" t="s">
        <v>151</v>
      </c>
      <c r="B10" s="4" t="s">
        <v>230</v>
      </c>
      <c r="C10" s="6" t="s">
        <v>44</v>
      </c>
      <c r="D10" s="6">
        <v>807</v>
      </c>
    </row>
    <row r="11" spans="1:9" x14ac:dyDescent="0.3">
      <c r="A11" s="4" t="s">
        <v>151</v>
      </c>
      <c r="B11" s="4" t="s">
        <v>231</v>
      </c>
      <c r="C11" s="6" t="s">
        <v>44</v>
      </c>
      <c r="D11" s="6">
        <v>1345</v>
      </c>
    </row>
    <row r="12" spans="1:9" x14ac:dyDescent="0.3">
      <c r="A12" s="4" t="s">
        <v>157</v>
      </c>
      <c r="B12" s="4" t="s">
        <v>232</v>
      </c>
      <c r="C12" s="6" t="s">
        <v>48</v>
      </c>
      <c r="D12" s="6">
        <v>1403</v>
      </c>
    </row>
    <row r="13" spans="1:9" x14ac:dyDescent="0.3">
      <c r="A13" s="4" t="s">
        <v>159</v>
      </c>
      <c r="B13" s="4" t="s">
        <v>233</v>
      </c>
      <c r="C13" s="6" t="s">
        <v>48</v>
      </c>
      <c r="D13" s="6">
        <v>1429</v>
      </c>
    </row>
    <row r="14" spans="1:9" x14ac:dyDescent="0.3">
      <c r="A14" s="4" t="s">
        <v>161</v>
      </c>
      <c r="B14" s="4" t="s">
        <v>234</v>
      </c>
      <c r="C14" s="6" t="s">
        <v>39</v>
      </c>
      <c r="D14" s="6">
        <v>1618</v>
      </c>
    </row>
    <row r="15" spans="1:9" x14ac:dyDescent="0.3">
      <c r="A15" s="4" t="s">
        <v>163</v>
      </c>
      <c r="B15" s="4" t="s">
        <v>235</v>
      </c>
      <c r="C15" s="6" t="s">
        <v>44</v>
      </c>
      <c r="D15" s="6">
        <v>1650</v>
      </c>
    </row>
    <row r="16" spans="1:9" x14ac:dyDescent="0.3">
      <c r="A16" s="4" t="s">
        <v>240</v>
      </c>
      <c r="B16" s="4" t="s">
        <v>236</v>
      </c>
      <c r="C16" s="6" t="s">
        <v>44</v>
      </c>
      <c r="D16" s="6">
        <v>1745</v>
      </c>
    </row>
    <row r="17" spans="1:4" x14ac:dyDescent="0.3">
      <c r="A17" s="4" t="s">
        <v>165</v>
      </c>
      <c r="B17" s="4" t="s">
        <v>237</v>
      </c>
      <c r="C17" s="6" t="s">
        <v>33</v>
      </c>
      <c r="D17" s="6">
        <v>2227</v>
      </c>
    </row>
    <row r="18" spans="1:4" x14ac:dyDescent="0.3">
      <c r="A18" s="4" t="s">
        <v>167</v>
      </c>
      <c r="B18" s="4" t="s">
        <v>238</v>
      </c>
      <c r="C18" s="6" t="s">
        <v>39</v>
      </c>
      <c r="D18" s="6">
        <v>2436</v>
      </c>
    </row>
  </sheetData>
  <mergeCells count="2">
    <mergeCell ref="A1:D1"/>
    <mergeCell ref="A6:D6"/>
  </mergeCells>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4753-CCD0-48F4-AA87-0102326527FC}">
  <dimension ref="A1:I18"/>
  <sheetViews>
    <sheetView showGridLines="0" zoomScale="120" zoomScaleNormal="120" workbookViewId="0">
      <selection activeCell="F10" sqref="F10"/>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3.28515625" style="1" customWidth="1"/>
    <col min="6" max="9" width="17.7109375" style="1" customWidth="1"/>
    <col min="10" max="16384" width="8.85546875" style="1"/>
  </cols>
  <sheetData>
    <row r="1" spans="1:9" ht="19.149999999999999" customHeight="1" x14ac:dyDescent="0.3">
      <c r="A1" s="64" t="s">
        <v>242</v>
      </c>
      <c r="B1" s="64"/>
      <c r="C1" s="64"/>
      <c r="D1" s="64"/>
    </row>
    <row r="2" spans="1:9" ht="4.1500000000000004" customHeight="1" x14ac:dyDescent="0.3">
      <c r="A2" s="22"/>
      <c r="B2" s="22"/>
      <c r="C2" s="22"/>
      <c r="D2" s="22"/>
    </row>
    <row r="3" spans="1:9" x14ac:dyDescent="0.3">
      <c r="A3" s="16" t="s">
        <v>150</v>
      </c>
      <c r="B3"/>
      <c r="C3" s="17" t="s">
        <v>8</v>
      </c>
      <c r="D3" s="3" t="s">
        <v>148</v>
      </c>
    </row>
    <row r="4" spans="1:9" x14ac:dyDescent="0.3">
      <c r="A4" s="4" t="s">
        <v>151</v>
      </c>
      <c r="B4"/>
      <c r="C4" s="25" t="s">
        <v>44</v>
      </c>
      <c r="D4" s="30">
        <v>1000</v>
      </c>
    </row>
    <row r="5" spans="1:9" x14ac:dyDescent="0.3">
      <c r="A5" s="31"/>
      <c r="B5" s="31"/>
      <c r="C5" s="32"/>
      <c r="D5" s="32"/>
    </row>
    <row r="6" spans="1:9" ht="19.149999999999999" customHeight="1" x14ac:dyDescent="0.3">
      <c r="A6" s="64" t="s">
        <v>228</v>
      </c>
      <c r="B6" s="64"/>
      <c r="C6" s="64"/>
      <c r="D6" s="64"/>
    </row>
    <row r="7" spans="1:9" ht="6" customHeight="1" x14ac:dyDescent="0.3"/>
    <row r="8" spans="1:9" x14ac:dyDescent="0.3">
      <c r="A8" s="16" t="s">
        <v>150</v>
      </c>
      <c r="B8" s="2" t="s">
        <v>227</v>
      </c>
      <c r="C8" s="17" t="s">
        <v>8</v>
      </c>
      <c r="D8" s="3" t="s">
        <v>148</v>
      </c>
      <c r="F8" s="16" t="s">
        <v>150</v>
      </c>
      <c r="G8" s="2" t="s">
        <v>227</v>
      </c>
      <c r="H8" s="17" t="s">
        <v>8</v>
      </c>
      <c r="I8" s="3" t="s">
        <v>148</v>
      </c>
    </row>
    <row r="9" spans="1:9" x14ac:dyDescent="0.3">
      <c r="A9" s="4" t="s">
        <v>151</v>
      </c>
      <c r="B9" s="4" t="s">
        <v>229</v>
      </c>
      <c r="C9" s="6" t="s">
        <v>44</v>
      </c>
      <c r="D9" s="6">
        <v>259</v>
      </c>
      <c r="F9" s="1" t="str" cm="1">
        <f t="array" ref="F9:I10">_xlfn._xlws.FILTER(A9:D18,(A9:A18=A4)*(C9:C18=C4)*(D9:D18&gt;D4))</f>
        <v>India</v>
      </c>
      <c r="G9" s="1" t="str">
        <v>Baking Powder</v>
      </c>
      <c r="H9" s="1" t="str">
        <v>Jun</v>
      </c>
      <c r="I9" s="1">
        <v>1200</v>
      </c>
    </row>
    <row r="10" spans="1:9" x14ac:dyDescent="0.3">
      <c r="A10" s="4" t="s">
        <v>151</v>
      </c>
      <c r="B10" s="4" t="s">
        <v>230</v>
      </c>
      <c r="C10" s="6" t="s">
        <v>44</v>
      </c>
      <c r="D10" s="6">
        <v>1200</v>
      </c>
      <c r="F10" s="1" t="str">
        <v>India</v>
      </c>
      <c r="G10" s="1" t="str">
        <v>Cornflour</v>
      </c>
      <c r="H10" s="1" t="str">
        <v>Jun</v>
      </c>
      <c r="I10" s="1">
        <v>1345</v>
      </c>
    </row>
    <row r="11" spans="1:9" x14ac:dyDescent="0.3">
      <c r="A11" s="4" t="s">
        <v>151</v>
      </c>
      <c r="B11" s="4" t="s">
        <v>231</v>
      </c>
      <c r="C11" s="6" t="s">
        <v>44</v>
      </c>
      <c r="D11" s="6">
        <v>1345</v>
      </c>
    </row>
    <row r="12" spans="1:9" x14ac:dyDescent="0.3">
      <c r="A12" s="4" t="s">
        <v>151</v>
      </c>
      <c r="B12" s="4" t="s">
        <v>232</v>
      </c>
      <c r="C12" s="6" t="s">
        <v>48</v>
      </c>
      <c r="D12" s="6">
        <v>1403</v>
      </c>
    </row>
    <row r="13" spans="1:9" x14ac:dyDescent="0.3">
      <c r="A13" s="4" t="s">
        <v>159</v>
      </c>
      <c r="B13" s="4" t="s">
        <v>233</v>
      </c>
      <c r="C13" s="6" t="s">
        <v>48</v>
      </c>
      <c r="D13" s="6">
        <v>1429</v>
      </c>
    </row>
    <row r="14" spans="1:9" x14ac:dyDescent="0.3">
      <c r="A14" s="4" t="s">
        <v>161</v>
      </c>
      <c r="B14" s="4" t="s">
        <v>234</v>
      </c>
      <c r="C14" s="6" t="s">
        <v>39</v>
      </c>
      <c r="D14" s="6">
        <v>1618</v>
      </c>
    </row>
    <row r="15" spans="1:9" x14ac:dyDescent="0.3">
      <c r="A15" s="4" t="s">
        <v>163</v>
      </c>
      <c r="B15" s="4" t="s">
        <v>235</v>
      </c>
      <c r="C15" s="6" t="s">
        <v>44</v>
      </c>
      <c r="D15" s="6">
        <v>1650</v>
      </c>
    </row>
    <row r="16" spans="1:9" x14ac:dyDescent="0.3">
      <c r="A16" s="4" t="s">
        <v>240</v>
      </c>
      <c r="B16" s="4" t="s">
        <v>236</v>
      </c>
      <c r="C16" s="6" t="s">
        <v>44</v>
      </c>
      <c r="D16" s="6">
        <v>1745</v>
      </c>
    </row>
    <row r="17" spans="1:4" x14ac:dyDescent="0.3">
      <c r="A17" s="4" t="s">
        <v>165</v>
      </c>
      <c r="B17" s="4" t="s">
        <v>237</v>
      </c>
      <c r="C17" s="6" t="s">
        <v>33</v>
      </c>
      <c r="D17" s="6">
        <v>2227</v>
      </c>
    </row>
    <row r="18" spans="1:4" x14ac:dyDescent="0.3">
      <c r="A18" s="4" t="s">
        <v>167</v>
      </c>
      <c r="B18" s="4" t="s">
        <v>238</v>
      </c>
      <c r="C18" s="6" t="s">
        <v>39</v>
      </c>
      <c r="D18" s="6">
        <v>2436</v>
      </c>
    </row>
  </sheetData>
  <autoFilter ref="A8:D18" xr:uid="{023F6B27-741B-4032-B1E3-28B35CB0427E}"/>
  <mergeCells count="2">
    <mergeCell ref="A1:D1"/>
    <mergeCell ref="A6:D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D9749-101F-4562-BF09-C53EBFCA6817}">
  <dimension ref="A1:I19"/>
  <sheetViews>
    <sheetView showGridLines="0" topLeftCell="A5" zoomScale="120" zoomScaleNormal="120" workbookViewId="0">
      <selection activeCell="F12" sqref="F12"/>
    </sheetView>
  </sheetViews>
  <sheetFormatPr defaultColWidth="8.85546875" defaultRowHeight="17.25" x14ac:dyDescent="0.3"/>
  <cols>
    <col min="1" max="1" width="17.7109375" style="1" customWidth="1"/>
    <col min="2" max="2" width="23" style="1" customWidth="1"/>
    <col min="3" max="3" width="15.7109375" style="29" customWidth="1"/>
    <col min="4" max="4" width="12.7109375" style="1" customWidth="1"/>
    <col min="5" max="5" width="13.28515625" style="1" customWidth="1"/>
    <col min="6" max="9" width="17.28515625" style="1" customWidth="1"/>
    <col min="10" max="16384" width="8.85546875" style="1"/>
  </cols>
  <sheetData>
    <row r="1" spans="1:9" ht="19.149999999999999" customHeight="1" x14ac:dyDescent="0.3">
      <c r="A1" s="64" t="s">
        <v>243</v>
      </c>
      <c r="B1" s="64"/>
      <c r="C1" s="64"/>
      <c r="D1" s="64"/>
    </row>
    <row r="2" spans="1:9" ht="4.1500000000000004" customHeight="1" x14ac:dyDescent="0.3">
      <c r="A2" s="22"/>
      <c r="B2" s="22"/>
      <c r="C2" s="22"/>
      <c r="D2" s="22"/>
    </row>
    <row r="3" spans="1:9" x14ac:dyDescent="0.3">
      <c r="A3" s="33" t="s">
        <v>150</v>
      </c>
      <c r="B3" s="33" t="s">
        <v>227</v>
      </c>
      <c r="C3" s="33" t="s">
        <v>8</v>
      </c>
      <c r="D3" s="33" t="s">
        <v>148</v>
      </c>
    </row>
    <row r="4" spans="1:9" x14ac:dyDescent="0.3">
      <c r="A4" s="4" t="s">
        <v>151</v>
      </c>
      <c r="B4" s="24"/>
      <c r="C4" s="25"/>
      <c r="D4" s="26"/>
    </row>
    <row r="5" spans="1:9" x14ac:dyDescent="0.3">
      <c r="A5" s="4" t="s">
        <v>153</v>
      </c>
      <c r="B5" s="24"/>
      <c r="C5" s="6"/>
      <c r="D5" s="26"/>
    </row>
    <row r="6" spans="1:9" ht="13.15" customHeight="1" x14ac:dyDescent="0.3">
      <c r="A6" s="31"/>
      <c r="B6" s="31"/>
      <c r="C6" s="32"/>
      <c r="D6" s="32"/>
    </row>
    <row r="7" spans="1:9" ht="19.149999999999999" customHeight="1" x14ac:dyDescent="0.3">
      <c r="A7" s="64" t="s">
        <v>228</v>
      </c>
      <c r="B7" s="64"/>
      <c r="C7" s="64"/>
      <c r="D7" s="64"/>
    </row>
    <row r="8" spans="1:9" ht="9" customHeight="1" x14ac:dyDescent="0.3"/>
    <row r="9" spans="1:9" x14ac:dyDescent="0.3">
      <c r="A9" s="2" t="s">
        <v>150</v>
      </c>
      <c r="B9" s="2" t="s">
        <v>227</v>
      </c>
      <c r="C9" s="3" t="s">
        <v>8</v>
      </c>
      <c r="D9" s="3" t="s">
        <v>148</v>
      </c>
      <c r="F9" s="2" t="s">
        <v>150</v>
      </c>
      <c r="G9" s="2" t="s">
        <v>227</v>
      </c>
      <c r="H9" s="3" t="s">
        <v>8</v>
      </c>
      <c r="I9" s="3" t="s">
        <v>148</v>
      </c>
    </row>
    <row r="10" spans="1:9" x14ac:dyDescent="0.3">
      <c r="A10" s="4" t="s">
        <v>151</v>
      </c>
      <c r="B10" s="4" t="s">
        <v>229</v>
      </c>
      <c r="C10" s="6" t="s">
        <v>44</v>
      </c>
      <c r="D10" s="6">
        <v>259</v>
      </c>
      <c r="F10" s="1" t="str" cm="1">
        <f t="array" ref="F10:I16">_xlfn._xlws.FILTER(A10:D19,(A10:A19=A4)+(A10:A19=A5))</f>
        <v>India</v>
      </c>
      <c r="G10" s="1" t="str">
        <v>Custard Powder</v>
      </c>
      <c r="H10" s="1" t="str">
        <v>Jun</v>
      </c>
      <c r="I10" s="1">
        <v>259</v>
      </c>
    </row>
    <row r="11" spans="1:9" x14ac:dyDescent="0.3">
      <c r="A11" s="4" t="s">
        <v>153</v>
      </c>
      <c r="B11" s="4" t="s">
        <v>230</v>
      </c>
      <c r="C11" s="6" t="s">
        <v>44</v>
      </c>
      <c r="D11" s="6">
        <v>807</v>
      </c>
      <c r="F11" s="1" t="str">
        <v>Indonesia</v>
      </c>
      <c r="G11" s="1" t="str">
        <v>Baking Powder</v>
      </c>
      <c r="H11" s="1" t="str">
        <v>Jun</v>
      </c>
      <c r="I11" s="1">
        <v>807</v>
      </c>
    </row>
    <row r="12" spans="1:9" x14ac:dyDescent="0.3">
      <c r="A12" s="4" t="s">
        <v>153</v>
      </c>
      <c r="B12" s="4" t="s">
        <v>231</v>
      </c>
      <c r="C12" s="6" t="s">
        <v>44</v>
      </c>
      <c r="D12" s="6">
        <v>1345</v>
      </c>
      <c r="F12" s="1" t="str">
        <v>Indonesia</v>
      </c>
      <c r="G12" s="1" t="str">
        <v>Cornflour</v>
      </c>
      <c r="H12" s="1" t="str">
        <v>Jun</v>
      </c>
      <c r="I12" s="1">
        <v>1345</v>
      </c>
    </row>
    <row r="13" spans="1:9" x14ac:dyDescent="0.3">
      <c r="A13" s="4" t="s">
        <v>153</v>
      </c>
      <c r="B13" s="4" t="s">
        <v>232</v>
      </c>
      <c r="C13" s="6" t="s">
        <v>48</v>
      </c>
      <c r="D13" s="6">
        <v>1403</v>
      </c>
      <c r="F13" s="1" t="str">
        <v>Indonesia</v>
      </c>
      <c r="G13" s="1" t="str">
        <v>Vegetarian Jelly</v>
      </c>
      <c r="H13" s="1" t="str">
        <v>Jul</v>
      </c>
      <c r="I13" s="1">
        <v>1403</v>
      </c>
    </row>
    <row r="14" spans="1:9" x14ac:dyDescent="0.3">
      <c r="A14" s="4" t="s">
        <v>153</v>
      </c>
      <c r="B14" s="4" t="s">
        <v>233</v>
      </c>
      <c r="C14" s="6" t="s">
        <v>48</v>
      </c>
      <c r="D14" s="6">
        <v>1429</v>
      </c>
      <c r="F14" s="1" t="str">
        <v>Indonesia</v>
      </c>
      <c r="G14" s="1" t="str">
        <v>Cremelle Pudding Mix</v>
      </c>
      <c r="H14" s="1" t="str">
        <v>Jul</v>
      </c>
      <c r="I14" s="1">
        <v>1429</v>
      </c>
    </row>
    <row r="15" spans="1:9" x14ac:dyDescent="0.3">
      <c r="A15" s="4" t="s">
        <v>153</v>
      </c>
      <c r="B15" s="4" t="s">
        <v>234</v>
      </c>
      <c r="C15" s="6" t="s">
        <v>39</v>
      </c>
      <c r="D15" s="6">
        <v>1618</v>
      </c>
      <c r="F15" s="1" t="str">
        <v>Indonesia</v>
      </c>
      <c r="G15" s="1" t="str">
        <v>Freeze Ice Cream Mix</v>
      </c>
      <c r="H15" s="1" t="str">
        <v>May</v>
      </c>
      <c r="I15" s="1">
        <v>1618</v>
      </c>
    </row>
    <row r="16" spans="1:9" x14ac:dyDescent="0.3">
      <c r="A16" s="4" t="s">
        <v>153</v>
      </c>
      <c r="B16" s="4" t="s">
        <v>235</v>
      </c>
      <c r="C16" s="6" t="s">
        <v>44</v>
      </c>
      <c r="D16" s="6">
        <v>1650</v>
      </c>
      <c r="F16" s="1" t="str">
        <v>Indonesia</v>
      </c>
      <c r="G16" s="1" t="str">
        <v>Cocoa Powder</v>
      </c>
      <c r="H16" s="1" t="str">
        <v>Jun</v>
      </c>
      <c r="I16" s="1">
        <v>1650</v>
      </c>
    </row>
    <row r="17" spans="1:4" x14ac:dyDescent="0.3">
      <c r="A17" s="4" t="s">
        <v>240</v>
      </c>
      <c r="B17" s="4" t="s">
        <v>236</v>
      </c>
      <c r="C17" s="6" t="s">
        <v>44</v>
      </c>
      <c r="D17" s="6">
        <v>1745</v>
      </c>
    </row>
    <row r="18" spans="1:4" x14ac:dyDescent="0.3">
      <c r="A18" s="4" t="s">
        <v>165</v>
      </c>
      <c r="B18" s="4" t="s">
        <v>237</v>
      </c>
      <c r="C18" s="6" t="s">
        <v>33</v>
      </c>
      <c r="D18" s="6">
        <v>2227</v>
      </c>
    </row>
    <row r="19" spans="1:4" x14ac:dyDescent="0.3">
      <c r="A19" s="4" t="s">
        <v>167</v>
      </c>
      <c r="B19" s="4" t="s">
        <v>238</v>
      </c>
      <c r="C19" s="6" t="s">
        <v>39</v>
      </c>
      <c r="D19" s="6">
        <v>2436</v>
      </c>
    </row>
  </sheetData>
  <mergeCells count="2">
    <mergeCell ref="A1:D1"/>
    <mergeCell ref="A7:D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B8D99-9BC4-43DB-81A9-E09B41457349}">
  <dimension ref="A1:AE61"/>
  <sheetViews>
    <sheetView showGridLines="0" tabSelected="1" zoomScale="115" zoomScaleNormal="115" workbookViewId="0">
      <selection activeCell="D9" sqref="D9"/>
    </sheetView>
  </sheetViews>
  <sheetFormatPr defaultColWidth="18.7109375" defaultRowHeight="15" x14ac:dyDescent="0.25"/>
  <cols>
    <col min="2" max="2" width="19.85546875" bestFit="1" customWidth="1"/>
    <col min="3" max="3" width="25.85546875" bestFit="1" customWidth="1"/>
  </cols>
  <sheetData>
    <row r="1" spans="1:31" ht="17.25" x14ac:dyDescent="0.3">
      <c r="A1" s="40" t="s">
        <v>244</v>
      </c>
      <c r="B1" s="41" t="s">
        <v>150</v>
      </c>
      <c r="C1" s="41" t="s">
        <v>227</v>
      </c>
      <c r="D1" s="42" t="s">
        <v>8</v>
      </c>
      <c r="E1" s="42" t="s">
        <v>245</v>
      </c>
      <c r="F1" s="43" t="s">
        <v>246</v>
      </c>
      <c r="O1" s="40" t="s">
        <v>244</v>
      </c>
      <c r="P1" s="41" t="s">
        <v>150</v>
      </c>
      <c r="Q1" s="41" t="s">
        <v>227</v>
      </c>
      <c r="R1" s="42" t="s">
        <v>8</v>
      </c>
      <c r="S1" s="42" t="s">
        <v>245</v>
      </c>
      <c r="T1" s="43" t="s">
        <v>246</v>
      </c>
      <c r="Z1" s="34" t="s">
        <v>244</v>
      </c>
      <c r="AA1" s="34" t="s">
        <v>150</v>
      </c>
      <c r="AB1" s="34" t="s">
        <v>227</v>
      </c>
      <c r="AC1" s="35" t="s">
        <v>8</v>
      </c>
      <c r="AD1" s="35" t="s">
        <v>245</v>
      </c>
      <c r="AE1" s="35" t="s">
        <v>246</v>
      </c>
    </row>
    <row r="2" spans="1:31" ht="17.25" x14ac:dyDescent="0.3">
      <c r="A2" s="38">
        <v>43761</v>
      </c>
      <c r="B2" s="23" t="s">
        <v>151</v>
      </c>
      <c r="C2" s="23" t="s">
        <v>229</v>
      </c>
      <c r="D2" s="37" t="s">
        <v>44</v>
      </c>
      <c r="E2" s="37">
        <v>259</v>
      </c>
      <c r="F2" s="39">
        <v>782</v>
      </c>
      <c r="O2" s="38">
        <v>43761</v>
      </c>
      <c r="P2" s="23" t="s">
        <v>151</v>
      </c>
      <c r="Q2" s="23" t="s">
        <v>229</v>
      </c>
      <c r="R2" s="37" t="s">
        <v>44</v>
      </c>
      <c r="S2" s="37">
        <v>259</v>
      </c>
      <c r="T2" s="39">
        <v>782</v>
      </c>
      <c r="Z2" s="36">
        <v>43761</v>
      </c>
      <c r="AA2" s="23" t="s">
        <v>151</v>
      </c>
      <c r="AB2" s="23" t="s">
        <v>229</v>
      </c>
      <c r="AC2" s="37" t="s">
        <v>44</v>
      </c>
      <c r="AD2" s="37">
        <v>259</v>
      </c>
      <c r="AE2" s="37">
        <v>782</v>
      </c>
    </row>
    <row r="3" spans="1:31" ht="17.25" x14ac:dyDescent="0.3">
      <c r="A3" s="38">
        <v>43738</v>
      </c>
      <c r="B3" s="23" t="s">
        <v>153</v>
      </c>
      <c r="C3" s="23" t="s">
        <v>230</v>
      </c>
      <c r="D3" s="37" t="s">
        <v>39</v>
      </c>
      <c r="E3" s="37">
        <v>807</v>
      </c>
      <c r="F3" s="39">
        <v>4025</v>
      </c>
      <c r="O3" s="38">
        <v>43963</v>
      </c>
      <c r="P3" s="23" t="s">
        <v>163</v>
      </c>
      <c r="Q3" s="23" t="s">
        <v>238</v>
      </c>
      <c r="R3" s="37" t="s">
        <v>39</v>
      </c>
      <c r="S3" s="37">
        <v>2436</v>
      </c>
      <c r="T3" s="39">
        <v>18420</v>
      </c>
      <c r="Z3" s="36">
        <v>43738</v>
      </c>
      <c r="AA3" s="23" t="s">
        <v>153</v>
      </c>
      <c r="AB3" s="23" t="s">
        <v>230</v>
      </c>
      <c r="AC3" s="37" t="s">
        <v>39</v>
      </c>
      <c r="AD3" s="37">
        <v>807</v>
      </c>
      <c r="AE3" s="37">
        <v>4025</v>
      </c>
    </row>
    <row r="4" spans="1:31" ht="17.25" x14ac:dyDescent="0.3">
      <c r="A4" s="38">
        <v>43571</v>
      </c>
      <c r="B4" s="23" t="s">
        <v>155</v>
      </c>
      <c r="C4" s="23" t="s">
        <v>231</v>
      </c>
      <c r="D4" s="37" t="s">
        <v>33</v>
      </c>
      <c r="E4" s="37">
        <v>1345</v>
      </c>
      <c r="F4" s="39">
        <v>4180</v>
      </c>
      <c r="O4" s="38">
        <v>43487</v>
      </c>
      <c r="P4" s="23" t="s">
        <v>175</v>
      </c>
      <c r="Q4" s="23" t="s">
        <v>252</v>
      </c>
      <c r="R4" s="37" t="s">
        <v>33</v>
      </c>
      <c r="S4" s="37">
        <v>3917</v>
      </c>
      <c r="T4" s="39">
        <v>42463</v>
      </c>
      <c r="Z4" s="36">
        <v>43571</v>
      </c>
      <c r="AA4" s="23" t="s">
        <v>155</v>
      </c>
      <c r="AB4" s="23" t="s">
        <v>231</v>
      </c>
      <c r="AC4" s="37" t="s">
        <v>33</v>
      </c>
      <c r="AD4" s="37">
        <v>1345</v>
      </c>
      <c r="AE4" s="37">
        <v>4180</v>
      </c>
    </row>
    <row r="5" spans="1:31" ht="17.25" x14ac:dyDescent="0.3">
      <c r="A5" s="38">
        <v>44057</v>
      </c>
      <c r="B5" s="23" t="s">
        <v>157</v>
      </c>
      <c r="C5" s="23" t="s">
        <v>235</v>
      </c>
      <c r="D5" s="37" t="s">
        <v>44</v>
      </c>
      <c r="E5" s="37">
        <v>1650</v>
      </c>
      <c r="F5" s="39">
        <v>16321</v>
      </c>
      <c r="O5" s="38">
        <v>43496</v>
      </c>
      <c r="P5" s="23" t="s">
        <v>177</v>
      </c>
      <c r="Q5" s="23" t="s">
        <v>253</v>
      </c>
      <c r="R5" s="37" t="s">
        <v>48</v>
      </c>
      <c r="S5" s="37">
        <v>3934</v>
      </c>
      <c r="T5" s="39">
        <v>43966</v>
      </c>
      <c r="Z5" s="36">
        <v>44057</v>
      </c>
      <c r="AA5" s="23" t="s">
        <v>157</v>
      </c>
      <c r="AB5" s="23" t="s">
        <v>235</v>
      </c>
      <c r="AC5" s="37" t="s">
        <v>44</v>
      </c>
      <c r="AD5" s="37">
        <v>1650</v>
      </c>
      <c r="AE5" s="37">
        <v>16321</v>
      </c>
    </row>
    <row r="6" spans="1:31" ht="17.25" x14ac:dyDescent="0.3">
      <c r="A6" s="38">
        <v>44059</v>
      </c>
      <c r="B6" s="23" t="s">
        <v>159</v>
      </c>
      <c r="C6" s="23" t="s">
        <v>236</v>
      </c>
      <c r="D6" s="37" t="s">
        <v>44</v>
      </c>
      <c r="E6" s="37">
        <v>1745</v>
      </c>
      <c r="F6" s="39">
        <v>16691</v>
      </c>
      <c r="O6" s="38">
        <v>43748</v>
      </c>
      <c r="P6" s="23" t="s">
        <v>179</v>
      </c>
      <c r="Q6" s="23" t="s">
        <v>229</v>
      </c>
      <c r="R6" s="37" t="s">
        <v>39</v>
      </c>
      <c r="S6" s="37">
        <v>4050</v>
      </c>
      <c r="T6" s="39">
        <v>44457</v>
      </c>
      <c r="Z6" s="36">
        <v>44059</v>
      </c>
      <c r="AA6" s="23" t="s">
        <v>159</v>
      </c>
      <c r="AB6" s="23" t="s">
        <v>236</v>
      </c>
      <c r="AC6" s="37" t="s">
        <v>44</v>
      </c>
      <c r="AD6" s="37">
        <v>1745</v>
      </c>
      <c r="AE6" s="37">
        <v>16691</v>
      </c>
    </row>
    <row r="7" spans="1:31" ht="17.25" x14ac:dyDescent="0.3">
      <c r="A7" s="38">
        <v>43653</v>
      </c>
      <c r="B7" s="23" t="s">
        <v>161</v>
      </c>
      <c r="C7" s="23" t="s">
        <v>237</v>
      </c>
      <c r="D7" s="37" t="s">
        <v>33</v>
      </c>
      <c r="E7" s="37">
        <v>2227</v>
      </c>
      <c r="F7" s="39">
        <v>17789</v>
      </c>
      <c r="O7" s="38">
        <v>43770</v>
      </c>
      <c r="P7" s="23" t="s">
        <v>181</v>
      </c>
      <c r="Q7" s="23" t="s">
        <v>230</v>
      </c>
      <c r="R7" s="37" t="s">
        <v>48</v>
      </c>
      <c r="S7" s="37">
        <v>4600</v>
      </c>
      <c r="T7" s="39">
        <v>47310</v>
      </c>
      <c r="Z7" s="36">
        <v>43653</v>
      </c>
      <c r="AA7" s="23" t="s">
        <v>161</v>
      </c>
      <c r="AB7" s="23" t="s">
        <v>237</v>
      </c>
      <c r="AC7" s="37" t="s">
        <v>33</v>
      </c>
      <c r="AD7" s="37">
        <v>2227</v>
      </c>
      <c r="AE7" s="37">
        <v>17789</v>
      </c>
    </row>
    <row r="8" spans="1:31" ht="17.25" x14ac:dyDescent="0.3">
      <c r="A8" s="38">
        <v>43963</v>
      </c>
      <c r="B8" s="23" t="s">
        <v>163</v>
      </c>
      <c r="C8" s="23" t="s">
        <v>238</v>
      </c>
      <c r="D8" s="37" t="s">
        <v>39</v>
      </c>
      <c r="E8" s="37">
        <v>2436</v>
      </c>
      <c r="F8" s="39">
        <v>18420</v>
      </c>
      <c r="O8" s="38">
        <v>43812</v>
      </c>
      <c r="P8" s="23" t="s">
        <v>183</v>
      </c>
      <c r="Q8" s="23" t="s">
        <v>231</v>
      </c>
      <c r="R8" s="37" t="s">
        <v>48</v>
      </c>
      <c r="S8" s="37">
        <v>4749</v>
      </c>
      <c r="T8" s="39">
        <v>51605</v>
      </c>
      <c r="Z8" s="36">
        <v>43963</v>
      </c>
      <c r="AA8" s="23" t="s">
        <v>163</v>
      </c>
      <c r="AB8" s="23" t="s">
        <v>238</v>
      </c>
      <c r="AC8" s="37" t="s">
        <v>39</v>
      </c>
      <c r="AD8" s="37">
        <v>2436</v>
      </c>
      <c r="AE8" s="37">
        <v>18420</v>
      </c>
    </row>
    <row r="9" spans="1:31" ht="17.25" x14ac:dyDescent="0.3">
      <c r="A9" s="38">
        <v>43711</v>
      </c>
      <c r="B9" s="23" t="s">
        <v>165</v>
      </c>
      <c r="C9" s="23" t="s">
        <v>247</v>
      </c>
      <c r="D9" s="37" t="s">
        <v>33</v>
      </c>
      <c r="E9" s="37">
        <v>3149</v>
      </c>
      <c r="F9" s="39">
        <v>35881</v>
      </c>
      <c r="O9" s="38">
        <v>44108</v>
      </c>
      <c r="P9" s="23" t="s">
        <v>185</v>
      </c>
      <c r="Q9" s="23" t="s">
        <v>232</v>
      </c>
      <c r="R9" s="37" t="s">
        <v>44</v>
      </c>
      <c r="S9" s="37">
        <v>4779</v>
      </c>
      <c r="T9" s="39">
        <v>51843</v>
      </c>
      <c r="Z9" s="36">
        <v>43711</v>
      </c>
      <c r="AA9" s="23" t="s">
        <v>165</v>
      </c>
      <c r="AB9" s="23" t="s">
        <v>247</v>
      </c>
      <c r="AC9" s="37" t="s">
        <v>33</v>
      </c>
      <c r="AD9" s="37">
        <v>3149</v>
      </c>
      <c r="AE9" s="37">
        <v>35881</v>
      </c>
    </row>
    <row r="10" spans="1:31" ht="17.25" x14ac:dyDescent="0.3">
      <c r="A10" s="38">
        <v>43822</v>
      </c>
      <c r="B10" s="23" t="s">
        <v>167</v>
      </c>
      <c r="C10" s="23" t="s">
        <v>248</v>
      </c>
      <c r="D10" s="37" t="s">
        <v>39</v>
      </c>
      <c r="E10" s="37">
        <v>3203</v>
      </c>
      <c r="F10" s="39">
        <v>39988</v>
      </c>
      <c r="O10" s="38">
        <v>43485</v>
      </c>
      <c r="P10" s="23" t="s">
        <v>187</v>
      </c>
      <c r="Q10" s="23" t="s">
        <v>233</v>
      </c>
      <c r="R10" s="37" t="s">
        <v>44</v>
      </c>
      <c r="S10" s="37">
        <v>5643</v>
      </c>
      <c r="T10" s="39">
        <v>54036</v>
      </c>
      <c r="Z10" s="36">
        <v>43822</v>
      </c>
      <c r="AA10" s="23" t="s">
        <v>167</v>
      </c>
      <c r="AB10" s="23" t="s">
        <v>248</v>
      </c>
      <c r="AC10" s="37" t="s">
        <v>39</v>
      </c>
      <c r="AD10" s="37">
        <v>3203</v>
      </c>
      <c r="AE10" s="37">
        <v>39988</v>
      </c>
    </row>
    <row r="11" spans="1:31" ht="17.25" x14ac:dyDescent="0.3">
      <c r="A11" s="38">
        <v>43716</v>
      </c>
      <c r="B11" s="23" t="s">
        <v>169</v>
      </c>
      <c r="C11" s="23" t="s">
        <v>249</v>
      </c>
      <c r="D11" s="37" t="s">
        <v>33</v>
      </c>
      <c r="E11" s="37">
        <v>3292</v>
      </c>
      <c r="F11" s="39">
        <v>39989</v>
      </c>
      <c r="O11" s="38">
        <v>43861</v>
      </c>
      <c r="P11" s="23" t="s">
        <v>189</v>
      </c>
      <c r="Q11" s="23" t="s">
        <v>234</v>
      </c>
      <c r="R11" s="37" t="s">
        <v>44</v>
      </c>
      <c r="S11" s="37">
        <v>5954</v>
      </c>
      <c r="T11" s="39">
        <v>56501</v>
      </c>
      <c r="Z11" s="36">
        <v>43716</v>
      </c>
      <c r="AA11" s="23" t="s">
        <v>169</v>
      </c>
      <c r="AB11" s="23" t="s">
        <v>249</v>
      </c>
      <c r="AC11" s="37" t="s">
        <v>33</v>
      </c>
      <c r="AD11" s="37">
        <v>3292</v>
      </c>
      <c r="AE11" s="37">
        <v>39989</v>
      </c>
    </row>
    <row r="12" spans="1:31" ht="17.25" x14ac:dyDescent="0.3">
      <c r="A12" s="38">
        <v>43907</v>
      </c>
      <c r="B12" s="23" t="s">
        <v>171</v>
      </c>
      <c r="C12" s="23" t="s">
        <v>250</v>
      </c>
      <c r="D12" s="37" t="s">
        <v>33</v>
      </c>
      <c r="E12" s="37">
        <v>3497</v>
      </c>
      <c r="F12" s="39">
        <v>40228</v>
      </c>
      <c r="O12" s="38">
        <v>44120</v>
      </c>
      <c r="P12" s="23" t="s">
        <v>191</v>
      </c>
      <c r="Q12" s="23" t="s">
        <v>235</v>
      </c>
      <c r="R12" s="37" t="s">
        <v>48</v>
      </c>
      <c r="S12" s="37">
        <v>6012</v>
      </c>
      <c r="T12" s="39">
        <v>57142</v>
      </c>
      <c r="Z12" s="36">
        <v>43907</v>
      </c>
      <c r="AA12" s="23" t="s">
        <v>171</v>
      </c>
      <c r="AB12" s="23" t="s">
        <v>250</v>
      </c>
      <c r="AC12" s="37" t="s">
        <v>33</v>
      </c>
      <c r="AD12" s="37">
        <v>3497</v>
      </c>
      <c r="AE12" s="37">
        <v>40228</v>
      </c>
    </row>
    <row r="13" spans="1:31" ht="17.25" x14ac:dyDescent="0.3">
      <c r="A13" s="38">
        <v>43481</v>
      </c>
      <c r="B13" s="23" t="s">
        <v>173</v>
      </c>
      <c r="C13" s="23" t="s">
        <v>251</v>
      </c>
      <c r="D13" s="37" t="s">
        <v>39</v>
      </c>
      <c r="E13" s="37">
        <v>3790</v>
      </c>
      <c r="F13" s="39">
        <v>41045</v>
      </c>
      <c r="O13" s="38">
        <v>43578</v>
      </c>
      <c r="P13" s="23" t="s">
        <v>193</v>
      </c>
      <c r="Q13" s="23" t="s">
        <v>236</v>
      </c>
      <c r="R13" s="37" t="s">
        <v>44</v>
      </c>
      <c r="S13" s="37">
        <v>6176</v>
      </c>
      <c r="T13" s="39">
        <v>58009</v>
      </c>
      <c r="Z13" s="36">
        <v>43481</v>
      </c>
      <c r="AA13" s="23" t="s">
        <v>173</v>
      </c>
      <c r="AB13" s="23" t="s">
        <v>251</v>
      </c>
      <c r="AC13" s="37" t="s">
        <v>39</v>
      </c>
      <c r="AD13" s="37">
        <v>3790</v>
      </c>
      <c r="AE13" s="37">
        <v>41045</v>
      </c>
    </row>
    <row r="14" spans="1:31" ht="17.25" x14ac:dyDescent="0.3">
      <c r="A14" s="38">
        <v>43487</v>
      </c>
      <c r="B14" s="23" t="s">
        <v>175</v>
      </c>
      <c r="C14" s="23" t="s">
        <v>252</v>
      </c>
      <c r="D14" s="37" t="s">
        <v>33</v>
      </c>
      <c r="E14" s="37">
        <v>3917</v>
      </c>
      <c r="F14" s="39">
        <v>42463</v>
      </c>
      <c r="O14" s="38">
        <v>43768</v>
      </c>
      <c r="P14" s="23" t="s">
        <v>195</v>
      </c>
      <c r="Q14" s="23" t="s">
        <v>237</v>
      </c>
      <c r="R14" s="37" t="s">
        <v>39</v>
      </c>
      <c r="S14" s="37">
        <v>6343</v>
      </c>
      <c r="T14" s="39">
        <v>58425</v>
      </c>
      <c r="Z14" s="36">
        <v>43487</v>
      </c>
      <c r="AA14" s="23" t="s">
        <v>175</v>
      </c>
      <c r="AB14" s="23" t="s">
        <v>252</v>
      </c>
      <c r="AC14" s="37" t="s">
        <v>33</v>
      </c>
      <c r="AD14" s="37">
        <v>3917</v>
      </c>
      <c r="AE14" s="37">
        <v>42463</v>
      </c>
    </row>
    <row r="15" spans="1:31" ht="17.25" x14ac:dyDescent="0.3">
      <c r="A15" s="38">
        <v>43496</v>
      </c>
      <c r="B15" s="23" t="s">
        <v>177</v>
      </c>
      <c r="C15" s="23" t="s">
        <v>253</v>
      </c>
      <c r="D15" s="37" t="s">
        <v>48</v>
      </c>
      <c r="E15" s="37">
        <v>3934</v>
      </c>
      <c r="F15" s="39">
        <v>43966</v>
      </c>
      <c r="O15" s="38">
        <v>43724</v>
      </c>
      <c r="P15" s="23" t="s">
        <v>197</v>
      </c>
      <c r="Q15" s="23" t="s">
        <v>238</v>
      </c>
      <c r="R15" s="37" t="s">
        <v>39</v>
      </c>
      <c r="S15" s="37">
        <v>6837</v>
      </c>
      <c r="T15" s="39">
        <v>58475</v>
      </c>
      <c r="Z15" s="36">
        <v>43496</v>
      </c>
      <c r="AA15" s="23" t="s">
        <v>177</v>
      </c>
      <c r="AB15" s="23" t="s">
        <v>253</v>
      </c>
      <c r="AC15" s="37" t="s">
        <v>48</v>
      </c>
      <c r="AD15" s="37">
        <v>3934</v>
      </c>
      <c r="AE15" s="37">
        <v>43966</v>
      </c>
    </row>
    <row r="16" spans="1:31" ht="17.25" x14ac:dyDescent="0.3">
      <c r="A16" s="38">
        <v>43748</v>
      </c>
      <c r="B16" s="23" t="s">
        <v>179</v>
      </c>
      <c r="C16" s="23" t="s">
        <v>229</v>
      </c>
      <c r="D16" s="37" t="s">
        <v>39</v>
      </c>
      <c r="E16" s="37">
        <v>4050</v>
      </c>
      <c r="F16" s="39">
        <v>44457</v>
      </c>
      <c r="O16" s="38">
        <v>44172</v>
      </c>
      <c r="P16" s="23" t="s">
        <v>199</v>
      </c>
      <c r="Q16" s="23" t="s">
        <v>254</v>
      </c>
      <c r="R16" s="37" t="s">
        <v>44</v>
      </c>
      <c r="S16" s="37">
        <v>6944</v>
      </c>
      <c r="T16" s="39">
        <v>59382</v>
      </c>
      <c r="Z16" s="36">
        <v>43748</v>
      </c>
      <c r="AA16" s="23" t="s">
        <v>179</v>
      </c>
      <c r="AB16" s="23" t="s">
        <v>229</v>
      </c>
      <c r="AC16" s="37" t="s">
        <v>39</v>
      </c>
      <c r="AD16" s="37">
        <v>4050</v>
      </c>
      <c r="AE16" s="37">
        <v>44457</v>
      </c>
    </row>
    <row r="17" spans="1:31" ht="17.25" x14ac:dyDescent="0.3">
      <c r="A17" s="38">
        <v>43770</v>
      </c>
      <c r="B17" s="23" t="s">
        <v>181</v>
      </c>
      <c r="C17" s="23" t="s">
        <v>230</v>
      </c>
      <c r="D17" s="37" t="s">
        <v>48</v>
      </c>
      <c r="E17" s="37">
        <v>4600</v>
      </c>
      <c r="F17" s="39">
        <v>47310</v>
      </c>
      <c r="O17" s="38">
        <v>43512</v>
      </c>
      <c r="P17" s="23" t="s">
        <v>201</v>
      </c>
      <c r="Q17" s="23" t="s">
        <v>255</v>
      </c>
      <c r="R17" s="37" t="s">
        <v>48</v>
      </c>
      <c r="S17" s="37">
        <v>7166</v>
      </c>
      <c r="T17" s="39">
        <v>59752</v>
      </c>
      <c r="Z17" s="36">
        <v>43770</v>
      </c>
      <c r="AA17" s="23" t="s">
        <v>181</v>
      </c>
      <c r="AB17" s="23" t="s">
        <v>230</v>
      </c>
      <c r="AC17" s="37" t="s">
        <v>48</v>
      </c>
      <c r="AD17" s="37">
        <v>4600</v>
      </c>
      <c r="AE17" s="37">
        <v>47310</v>
      </c>
    </row>
    <row r="18" spans="1:31" ht="17.25" x14ac:dyDescent="0.3">
      <c r="A18" s="38">
        <v>43812</v>
      </c>
      <c r="B18" s="23" t="s">
        <v>183</v>
      </c>
      <c r="C18" s="23" t="s">
        <v>231</v>
      </c>
      <c r="D18" s="37" t="s">
        <v>48</v>
      </c>
      <c r="E18" s="37">
        <v>4749</v>
      </c>
      <c r="F18" s="39">
        <v>51605</v>
      </c>
      <c r="O18" s="38">
        <v>43775</v>
      </c>
      <c r="P18" s="23" t="s">
        <v>203</v>
      </c>
      <c r="Q18" s="23" t="s">
        <v>256</v>
      </c>
      <c r="R18" s="37" t="s">
        <v>39</v>
      </c>
      <c r="S18" s="37">
        <v>8122</v>
      </c>
      <c r="T18" s="39">
        <v>63327</v>
      </c>
      <c r="Z18" s="36">
        <v>43812</v>
      </c>
      <c r="AA18" s="23" t="s">
        <v>183</v>
      </c>
      <c r="AB18" s="23" t="s">
        <v>231</v>
      </c>
      <c r="AC18" s="37" t="s">
        <v>48</v>
      </c>
      <c r="AD18" s="37">
        <v>4749</v>
      </c>
      <c r="AE18" s="37">
        <v>51605</v>
      </c>
    </row>
    <row r="19" spans="1:31" ht="17.25" x14ac:dyDescent="0.3">
      <c r="A19" s="38">
        <v>44108</v>
      </c>
      <c r="B19" s="23" t="s">
        <v>185</v>
      </c>
      <c r="C19" s="23" t="s">
        <v>232</v>
      </c>
      <c r="D19" s="37" t="s">
        <v>44</v>
      </c>
      <c r="E19" s="37">
        <v>4779</v>
      </c>
      <c r="F19" s="39">
        <v>51843</v>
      </c>
      <c r="O19" s="38">
        <v>44092</v>
      </c>
      <c r="P19" s="23" t="s">
        <v>205</v>
      </c>
      <c r="Q19" s="23" t="s">
        <v>257</v>
      </c>
      <c r="R19" s="37" t="s">
        <v>33</v>
      </c>
      <c r="S19" s="37">
        <v>8356</v>
      </c>
      <c r="T19" s="39">
        <v>65112</v>
      </c>
      <c r="Z19" s="36">
        <v>44108</v>
      </c>
      <c r="AA19" s="23" t="s">
        <v>185</v>
      </c>
      <c r="AB19" s="23" t="s">
        <v>232</v>
      </c>
      <c r="AC19" s="37" t="s">
        <v>44</v>
      </c>
      <c r="AD19" s="37">
        <v>4779</v>
      </c>
      <c r="AE19" s="37">
        <v>51843</v>
      </c>
    </row>
    <row r="20" spans="1:31" ht="17.25" x14ac:dyDescent="0.3">
      <c r="A20" s="38">
        <v>43485</v>
      </c>
      <c r="B20" s="23" t="s">
        <v>187</v>
      </c>
      <c r="C20" s="23" t="s">
        <v>233</v>
      </c>
      <c r="D20" s="37" t="s">
        <v>44</v>
      </c>
      <c r="E20" s="37">
        <v>5643</v>
      </c>
      <c r="F20" s="39">
        <v>54036</v>
      </c>
      <c r="O20" s="38">
        <v>43946</v>
      </c>
      <c r="P20" s="23" t="s">
        <v>207</v>
      </c>
      <c r="Q20" s="23" t="s">
        <v>258</v>
      </c>
      <c r="R20" s="37" t="s">
        <v>48</v>
      </c>
      <c r="S20" s="37">
        <v>8362</v>
      </c>
      <c r="T20" s="39">
        <v>66219</v>
      </c>
      <c r="Z20" s="36">
        <v>43485</v>
      </c>
      <c r="AA20" s="23" t="s">
        <v>187</v>
      </c>
      <c r="AB20" s="23" t="s">
        <v>233</v>
      </c>
      <c r="AC20" s="37" t="s">
        <v>44</v>
      </c>
      <c r="AD20" s="37">
        <v>5643</v>
      </c>
      <c r="AE20" s="37">
        <v>54036</v>
      </c>
    </row>
    <row r="21" spans="1:31" ht="17.25" x14ac:dyDescent="0.3">
      <c r="A21" s="38">
        <v>43861</v>
      </c>
      <c r="B21" s="23" t="s">
        <v>189</v>
      </c>
      <c r="C21" s="23" t="s">
        <v>234</v>
      </c>
      <c r="D21" s="37" t="s">
        <v>44</v>
      </c>
      <c r="E21" s="37">
        <v>5954</v>
      </c>
      <c r="F21" s="39">
        <v>56501</v>
      </c>
      <c r="O21" s="38">
        <v>43540</v>
      </c>
      <c r="P21" s="23" t="s">
        <v>209</v>
      </c>
      <c r="Q21" s="23" t="s">
        <v>247</v>
      </c>
      <c r="R21" s="37" t="s">
        <v>48</v>
      </c>
      <c r="S21" s="37">
        <v>8691</v>
      </c>
      <c r="T21" s="39">
        <v>66458</v>
      </c>
      <c r="Z21" s="36">
        <v>43861</v>
      </c>
      <c r="AA21" s="23" t="s">
        <v>189</v>
      </c>
      <c r="AB21" s="23" t="s">
        <v>234</v>
      </c>
      <c r="AC21" s="37" t="s">
        <v>44</v>
      </c>
      <c r="AD21" s="37">
        <v>5954</v>
      </c>
      <c r="AE21" s="37">
        <v>56501</v>
      </c>
    </row>
    <row r="22" spans="1:31" ht="17.25" x14ac:dyDescent="0.3">
      <c r="A22" s="38">
        <v>44120</v>
      </c>
      <c r="B22" s="23" t="s">
        <v>191</v>
      </c>
      <c r="C22" s="23" t="s">
        <v>235</v>
      </c>
      <c r="D22" s="37" t="s">
        <v>48</v>
      </c>
      <c r="E22" s="37">
        <v>6012</v>
      </c>
      <c r="F22" s="39">
        <v>57142</v>
      </c>
      <c r="O22" s="38">
        <v>43564</v>
      </c>
      <c r="P22" s="23" t="s">
        <v>211</v>
      </c>
      <c r="Q22" s="23" t="s">
        <v>248</v>
      </c>
      <c r="R22" s="37" t="s">
        <v>44</v>
      </c>
      <c r="S22" s="37">
        <v>9078</v>
      </c>
      <c r="T22" s="39">
        <v>66567</v>
      </c>
      <c r="Z22" s="36">
        <v>44120</v>
      </c>
      <c r="AA22" s="23" t="s">
        <v>191</v>
      </c>
      <c r="AB22" s="23" t="s">
        <v>235</v>
      </c>
      <c r="AC22" s="37" t="s">
        <v>48</v>
      </c>
      <c r="AD22" s="37">
        <v>6012</v>
      </c>
      <c r="AE22" s="37">
        <v>57142</v>
      </c>
    </row>
    <row r="23" spans="1:31" ht="17.25" x14ac:dyDescent="0.3">
      <c r="A23" s="38">
        <v>43578</v>
      </c>
      <c r="B23" s="23" t="s">
        <v>193</v>
      </c>
      <c r="C23" s="23" t="s">
        <v>236</v>
      </c>
      <c r="D23" s="37" t="s">
        <v>44</v>
      </c>
      <c r="E23" s="37">
        <v>6176</v>
      </c>
      <c r="F23" s="39">
        <v>58009</v>
      </c>
      <c r="O23" s="38">
        <v>43774</v>
      </c>
      <c r="P23" s="23" t="s">
        <v>213</v>
      </c>
      <c r="Q23" s="23" t="s">
        <v>249</v>
      </c>
      <c r="R23" s="37" t="s">
        <v>48</v>
      </c>
      <c r="S23" s="37">
        <v>9543</v>
      </c>
      <c r="T23" s="39">
        <v>66881</v>
      </c>
      <c r="Z23" s="36">
        <v>43578</v>
      </c>
      <c r="AA23" s="23" t="s">
        <v>193</v>
      </c>
      <c r="AB23" s="23" t="s">
        <v>236</v>
      </c>
      <c r="AC23" s="37" t="s">
        <v>44</v>
      </c>
      <c r="AD23" s="37">
        <v>6176</v>
      </c>
      <c r="AE23" s="37">
        <v>58009</v>
      </c>
    </row>
    <row r="24" spans="1:31" ht="17.25" x14ac:dyDescent="0.3">
      <c r="A24" s="38">
        <v>43768</v>
      </c>
      <c r="B24" s="23" t="s">
        <v>195</v>
      </c>
      <c r="C24" s="23" t="s">
        <v>237</v>
      </c>
      <c r="D24" s="37" t="s">
        <v>39</v>
      </c>
      <c r="E24" s="37">
        <v>6343</v>
      </c>
      <c r="F24" s="39">
        <v>58425</v>
      </c>
      <c r="O24" s="38">
        <v>43623</v>
      </c>
      <c r="P24" s="23" t="s">
        <v>215</v>
      </c>
      <c r="Q24" s="23" t="s">
        <v>229</v>
      </c>
      <c r="R24" s="37" t="s">
        <v>44</v>
      </c>
      <c r="S24" s="37">
        <v>259</v>
      </c>
      <c r="T24" s="39">
        <v>782</v>
      </c>
      <c r="Z24" s="36">
        <v>43768</v>
      </c>
      <c r="AA24" s="23" t="s">
        <v>195</v>
      </c>
      <c r="AB24" s="23" t="s">
        <v>237</v>
      </c>
      <c r="AC24" s="37" t="s">
        <v>39</v>
      </c>
      <c r="AD24" s="37">
        <v>6343</v>
      </c>
      <c r="AE24" s="37">
        <v>58425</v>
      </c>
    </row>
    <row r="25" spans="1:31" ht="17.25" x14ac:dyDescent="0.3">
      <c r="A25" s="38">
        <v>43724</v>
      </c>
      <c r="B25" s="23" t="s">
        <v>197</v>
      </c>
      <c r="C25" s="23" t="s">
        <v>238</v>
      </c>
      <c r="D25" s="37" t="s">
        <v>39</v>
      </c>
      <c r="E25" s="37">
        <v>6837</v>
      </c>
      <c r="F25" s="39">
        <v>58475</v>
      </c>
      <c r="O25" s="38">
        <v>44097</v>
      </c>
      <c r="P25" s="23" t="s">
        <v>217</v>
      </c>
      <c r="Q25" s="23" t="s">
        <v>230</v>
      </c>
      <c r="R25" s="37" t="s">
        <v>39</v>
      </c>
      <c r="S25" s="37">
        <v>807</v>
      </c>
      <c r="T25" s="39">
        <v>4025</v>
      </c>
      <c r="Z25" s="36">
        <v>43724</v>
      </c>
      <c r="AA25" s="23" t="s">
        <v>197</v>
      </c>
      <c r="AB25" s="23" t="s">
        <v>238</v>
      </c>
      <c r="AC25" s="37" t="s">
        <v>39</v>
      </c>
      <c r="AD25" s="37">
        <v>6837</v>
      </c>
      <c r="AE25" s="37">
        <v>58475</v>
      </c>
    </row>
    <row r="26" spans="1:31" ht="17.25" x14ac:dyDescent="0.3">
      <c r="A26" s="38">
        <v>44172</v>
      </c>
      <c r="B26" s="23" t="s">
        <v>199</v>
      </c>
      <c r="C26" s="23" t="s">
        <v>254</v>
      </c>
      <c r="D26" s="37" t="s">
        <v>44</v>
      </c>
      <c r="E26" s="37">
        <v>6944</v>
      </c>
      <c r="F26" s="39">
        <v>59382</v>
      </c>
      <c r="O26" s="38">
        <v>44089</v>
      </c>
      <c r="P26" s="23" t="s">
        <v>219</v>
      </c>
      <c r="Q26" s="23" t="s">
        <v>231</v>
      </c>
      <c r="R26" s="37" t="s">
        <v>33</v>
      </c>
      <c r="S26" s="37">
        <v>1345</v>
      </c>
      <c r="T26" s="39">
        <v>4180</v>
      </c>
      <c r="Z26" s="36">
        <v>44172</v>
      </c>
      <c r="AA26" s="23" t="s">
        <v>199</v>
      </c>
      <c r="AB26" s="23" t="s">
        <v>254</v>
      </c>
      <c r="AC26" s="37" t="s">
        <v>44</v>
      </c>
      <c r="AD26" s="37">
        <v>6944</v>
      </c>
      <c r="AE26" s="37">
        <v>59382</v>
      </c>
    </row>
    <row r="27" spans="1:31" ht="17.25" x14ac:dyDescent="0.3">
      <c r="A27" s="38">
        <v>43512</v>
      </c>
      <c r="B27" s="23" t="s">
        <v>201</v>
      </c>
      <c r="C27" s="23" t="s">
        <v>255</v>
      </c>
      <c r="D27" s="37" t="s">
        <v>48</v>
      </c>
      <c r="E27" s="37">
        <v>7166</v>
      </c>
      <c r="F27" s="39">
        <v>59752</v>
      </c>
      <c r="O27" s="38">
        <v>43470</v>
      </c>
      <c r="P27" s="23" t="s">
        <v>221</v>
      </c>
      <c r="Q27" s="23" t="s">
        <v>232</v>
      </c>
      <c r="R27" s="37" t="s">
        <v>48</v>
      </c>
      <c r="S27" s="37">
        <v>1403</v>
      </c>
      <c r="T27" s="39">
        <v>6091</v>
      </c>
      <c r="Z27" s="36">
        <v>43512</v>
      </c>
      <c r="AA27" s="23" t="s">
        <v>201</v>
      </c>
      <c r="AB27" s="23" t="s">
        <v>255</v>
      </c>
      <c r="AC27" s="37" t="s">
        <v>48</v>
      </c>
      <c r="AD27" s="37">
        <v>7166</v>
      </c>
      <c r="AE27" s="37">
        <v>59752</v>
      </c>
    </row>
    <row r="28" spans="1:31" ht="17.25" x14ac:dyDescent="0.3">
      <c r="A28" s="38">
        <v>43775</v>
      </c>
      <c r="B28" s="23" t="s">
        <v>203</v>
      </c>
      <c r="C28" s="23" t="s">
        <v>256</v>
      </c>
      <c r="D28" s="37" t="s">
        <v>39</v>
      </c>
      <c r="E28" s="37">
        <v>8122</v>
      </c>
      <c r="F28" s="39">
        <v>63327</v>
      </c>
      <c r="O28" s="38">
        <v>43820</v>
      </c>
      <c r="P28" s="23" t="s">
        <v>223</v>
      </c>
      <c r="Q28" s="23" t="s">
        <v>233</v>
      </c>
      <c r="R28" s="37" t="s">
        <v>48</v>
      </c>
      <c r="S28" s="37">
        <v>1429</v>
      </c>
      <c r="T28" s="39">
        <v>7283</v>
      </c>
      <c r="Z28" s="36">
        <v>43775</v>
      </c>
      <c r="AA28" s="23" t="s">
        <v>203</v>
      </c>
      <c r="AB28" s="23" t="s">
        <v>256</v>
      </c>
      <c r="AC28" s="37" t="s">
        <v>39</v>
      </c>
      <c r="AD28" s="37">
        <v>8122</v>
      </c>
      <c r="AE28" s="37">
        <v>63327</v>
      </c>
    </row>
    <row r="29" spans="1:31" ht="17.25" x14ac:dyDescent="0.3">
      <c r="A29" s="38">
        <v>44092</v>
      </c>
      <c r="B29" s="23" t="s">
        <v>205</v>
      </c>
      <c r="C29" s="23" t="s">
        <v>257</v>
      </c>
      <c r="D29" s="37" t="s">
        <v>33</v>
      </c>
      <c r="E29" s="37">
        <v>8356</v>
      </c>
      <c r="F29" s="39">
        <v>65112</v>
      </c>
      <c r="O29" s="38">
        <v>44068</v>
      </c>
      <c r="P29" s="23" t="s">
        <v>224</v>
      </c>
      <c r="Q29" s="23" t="s">
        <v>234</v>
      </c>
      <c r="R29" s="37" t="s">
        <v>39</v>
      </c>
      <c r="S29" s="37">
        <v>1618</v>
      </c>
      <c r="T29" s="39">
        <v>11552</v>
      </c>
      <c r="Z29" s="36">
        <v>44092</v>
      </c>
      <c r="AA29" s="23" t="s">
        <v>205</v>
      </c>
      <c r="AB29" s="23" t="s">
        <v>257</v>
      </c>
      <c r="AC29" s="37" t="s">
        <v>33</v>
      </c>
      <c r="AD29" s="37">
        <v>8356</v>
      </c>
      <c r="AE29" s="37">
        <v>65112</v>
      </c>
    </row>
    <row r="30" spans="1:31" ht="17.25" x14ac:dyDescent="0.3">
      <c r="A30" s="38">
        <v>43946</v>
      </c>
      <c r="B30" s="23" t="s">
        <v>207</v>
      </c>
      <c r="C30" s="23" t="s">
        <v>258</v>
      </c>
      <c r="D30" s="37" t="s">
        <v>48</v>
      </c>
      <c r="E30" s="37">
        <v>8362</v>
      </c>
      <c r="F30" s="39">
        <v>66219</v>
      </c>
      <c r="O30" s="38">
        <v>43988</v>
      </c>
      <c r="P30" s="23" t="s">
        <v>225</v>
      </c>
      <c r="Q30" s="23" t="s">
        <v>235</v>
      </c>
      <c r="R30" s="37" t="s">
        <v>44</v>
      </c>
      <c r="S30" s="37">
        <v>1650</v>
      </c>
      <c r="T30" s="39">
        <v>16321</v>
      </c>
      <c r="Z30" s="36">
        <v>43946</v>
      </c>
      <c r="AA30" s="23" t="s">
        <v>207</v>
      </c>
      <c r="AB30" s="23" t="s">
        <v>258</v>
      </c>
      <c r="AC30" s="37" t="s">
        <v>48</v>
      </c>
      <c r="AD30" s="37">
        <v>8362</v>
      </c>
      <c r="AE30" s="37">
        <v>66219</v>
      </c>
    </row>
    <row r="31" spans="1:31" ht="17.25" x14ac:dyDescent="0.3">
      <c r="A31" s="38">
        <v>43540</v>
      </c>
      <c r="B31" s="23" t="s">
        <v>209</v>
      </c>
      <c r="C31" s="23" t="s">
        <v>247</v>
      </c>
      <c r="D31" s="37" t="s">
        <v>48</v>
      </c>
      <c r="E31" s="37">
        <v>8691</v>
      </c>
      <c r="F31" s="39">
        <v>66458</v>
      </c>
      <c r="O31" s="38">
        <v>44018</v>
      </c>
      <c r="P31" s="23" t="s">
        <v>259</v>
      </c>
      <c r="Q31" s="23" t="s">
        <v>236</v>
      </c>
      <c r="R31" s="37" t="s">
        <v>44</v>
      </c>
      <c r="S31" s="37">
        <v>1745</v>
      </c>
      <c r="T31" s="39">
        <v>16691</v>
      </c>
      <c r="Z31" s="36">
        <v>43540</v>
      </c>
      <c r="AA31" s="23" t="s">
        <v>209</v>
      </c>
      <c r="AB31" s="23" t="s">
        <v>247</v>
      </c>
      <c r="AC31" s="37" t="s">
        <v>48</v>
      </c>
      <c r="AD31" s="37">
        <v>8691</v>
      </c>
      <c r="AE31" s="37">
        <v>66458</v>
      </c>
    </row>
    <row r="32" spans="1:31" ht="17.25" x14ac:dyDescent="0.3">
      <c r="A32" s="38">
        <v>43564</v>
      </c>
      <c r="B32" s="23" t="s">
        <v>211</v>
      </c>
      <c r="C32" s="23" t="s">
        <v>248</v>
      </c>
      <c r="D32" s="37" t="s">
        <v>44</v>
      </c>
      <c r="E32" s="37">
        <v>9078</v>
      </c>
      <c r="F32" s="39">
        <v>66567</v>
      </c>
      <c r="O32" s="38">
        <v>43572</v>
      </c>
      <c r="P32" s="23" t="s">
        <v>260</v>
      </c>
      <c r="Q32" s="23" t="s">
        <v>237</v>
      </c>
      <c r="R32" s="37" t="s">
        <v>33</v>
      </c>
      <c r="S32" s="37">
        <v>2227</v>
      </c>
      <c r="T32" s="39">
        <v>17789</v>
      </c>
      <c r="Z32" s="36">
        <v>43564</v>
      </c>
      <c r="AA32" s="23" t="s">
        <v>211</v>
      </c>
      <c r="AB32" s="23" t="s">
        <v>248</v>
      </c>
      <c r="AC32" s="37" t="s">
        <v>44</v>
      </c>
      <c r="AD32" s="37">
        <v>9078</v>
      </c>
      <c r="AE32" s="37">
        <v>66567</v>
      </c>
    </row>
    <row r="33" spans="1:31" ht="17.25" x14ac:dyDescent="0.3">
      <c r="A33" s="38">
        <v>43774</v>
      </c>
      <c r="B33" s="23" t="s">
        <v>213</v>
      </c>
      <c r="C33" s="23" t="s">
        <v>249</v>
      </c>
      <c r="D33" s="37" t="s">
        <v>48</v>
      </c>
      <c r="E33" s="37">
        <v>9543</v>
      </c>
      <c r="F33" s="39">
        <v>66881</v>
      </c>
      <c r="O33" s="38">
        <v>44065</v>
      </c>
      <c r="P33" s="23" t="s">
        <v>261</v>
      </c>
      <c r="Q33" s="23" t="s">
        <v>238</v>
      </c>
      <c r="R33" s="37" t="s">
        <v>39</v>
      </c>
      <c r="S33" s="37">
        <v>2436</v>
      </c>
      <c r="T33" s="39">
        <v>18420</v>
      </c>
      <c r="Z33" s="36">
        <v>43774</v>
      </c>
      <c r="AA33" s="23" t="s">
        <v>213</v>
      </c>
      <c r="AB33" s="23" t="s">
        <v>249</v>
      </c>
      <c r="AC33" s="37" t="s">
        <v>48</v>
      </c>
      <c r="AD33" s="37">
        <v>9543</v>
      </c>
      <c r="AE33" s="37">
        <v>66881</v>
      </c>
    </row>
    <row r="34" spans="1:31" ht="17.25" x14ac:dyDescent="0.3">
      <c r="A34" s="38">
        <v>43623</v>
      </c>
      <c r="B34" s="23" t="s">
        <v>215</v>
      </c>
      <c r="C34" s="23" t="s">
        <v>229</v>
      </c>
      <c r="D34" s="37" t="s">
        <v>44</v>
      </c>
      <c r="E34" s="37">
        <v>259</v>
      </c>
      <c r="F34" s="39">
        <v>782</v>
      </c>
      <c r="O34" s="38">
        <v>43839</v>
      </c>
      <c r="P34" s="23" t="s">
        <v>262</v>
      </c>
      <c r="Q34" s="23" t="s">
        <v>254</v>
      </c>
      <c r="R34" s="37" t="s">
        <v>44</v>
      </c>
      <c r="S34" s="37">
        <v>2584</v>
      </c>
      <c r="T34" s="39">
        <v>22123</v>
      </c>
      <c r="Z34" s="36">
        <v>43623</v>
      </c>
      <c r="AA34" s="23" t="s">
        <v>215</v>
      </c>
      <c r="AB34" s="23" t="s">
        <v>229</v>
      </c>
      <c r="AC34" s="37" t="s">
        <v>44</v>
      </c>
      <c r="AD34" s="37">
        <v>259</v>
      </c>
      <c r="AE34" s="37">
        <v>782</v>
      </c>
    </row>
    <row r="35" spans="1:31" ht="17.25" x14ac:dyDescent="0.3">
      <c r="A35" s="38">
        <v>44097</v>
      </c>
      <c r="B35" s="23" t="s">
        <v>217</v>
      </c>
      <c r="C35" s="23" t="s">
        <v>230</v>
      </c>
      <c r="D35" s="37" t="s">
        <v>39</v>
      </c>
      <c r="E35" s="37">
        <v>807</v>
      </c>
      <c r="F35" s="39">
        <v>4025</v>
      </c>
      <c r="O35" s="38">
        <v>43754</v>
      </c>
      <c r="P35" s="23" t="s">
        <v>263</v>
      </c>
      <c r="Q35" s="23" t="s">
        <v>255</v>
      </c>
      <c r="R35" s="37" t="s">
        <v>33</v>
      </c>
      <c r="S35" s="37">
        <v>2688</v>
      </c>
      <c r="T35" s="39">
        <v>24848</v>
      </c>
      <c r="Z35" s="36">
        <v>44097</v>
      </c>
      <c r="AA35" s="23" t="s">
        <v>217</v>
      </c>
      <c r="AB35" s="23" t="s">
        <v>230</v>
      </c>
      <c r="AC35" s="37" t="s">
        <v>39</v>
      </c>
      <c r="AD35" s="37">
        <v>807</v>
      </c>
      <c r="AE35" s="37">
        <v>4025</v>
      </c>
    </row>
    <row r="36" spans="1:31" ht="17.25" x14ac:dyDescent="0.3">
      <c r="A36" s="38">
        <v>44089</v>
      </c>
      <c r="B36" s="23" t="s">
        <v>219</v>
      </c>
      <c r="C36" s="23" t="s">
        <v>231</v>
      </c>
      <c r="D36" s="37" t="s">
        <v>33</v>
      </c>
      <c r="E36" s="37">
        <v>1345</v>
      </c>
      <c r="F36" s="39">
        <v>4180</v>
      </c>
      <c r="O36" s="38">
        <v>44037</v>
      </c>
      <c r="P36" s="23" t="s">
        <v>264</v>
      </c>
      <c r="Q36" s="23" t="s">
        <v>256</v>
      </c>
      <c r="R36" s="37" t="s">
        <v>39</v>
      </c>
      <c r="S36" s="37">
        <v>2917</v>
      </c>
      <c r="T36" s="39">
        <v>32880</v>
      </c>
      <c r="Z36" s="36">
        <v>44089</v>
      </c>
      <c r="AA36" s="23" t="s">
        <v>219</v>
      </c>
      <c r="AB36" s="23" t="s">
        <v>231</v>
      </c>
      <c r="AC36" s="37" t="s">
        <v>33</v>
      </c>
      <c r="AD36" s="37">
        <v>1345</v>
      </c>
      <c r="AE36" s="37">
        <v>4180</v>
      </c>
    </row>
    <row r="37" spans="1:31" ht="17.25" x14ac:dyDescent="0.3">
      <c r="A37" s="38">
        <v>43470</v>
      </c>
      <c r="B37" s="23" t="s">
        <v>221</v>
      </c>
      <c r="C37" s="23" t="s">
        <v>232</v>
      </c>
      <c r="D37" s="37" t="s">
        <v>48</v>
      </c>
      <c r="E37" s="37">
        <v>1403</v>
      </c>
      <c r="F37" s="39">
        <v>6091</v>
      </c>
      <c r="O37" s="38">
        <v>43950</v>
      </c>
      <c r="P37" s="23" t="s">
        <v>265</v>
      </c>
      <c r="Q37" s="23" t="s">
        <v>257</v>
      </c>
      <c r="R37" s="37" t="s">
        <v>33</v>
      </c>
      <c r="S37" s="37">
        <v>2941</v>
      </c>
      <c r="T37" s="39">
        <v>33977</v>
      </c>
      <c r="Z37" s="36">
        <v>43470</v>
      </c>
      <c r="AA37" s="23" t="s">
        <v>221</v>
      </c>
      <c r="AB37" s="23" t="s">
        <v>232</v>
      </c>
      <c r="AC37" s="37" t="s">
        <v>48</v>
      </c>
      <c r="AD37" s="37">
        <v>1403</v>
      </c>
      <c r="AE37" s="37">
        <v>6091</v>
      </c>
    </row>
    <row r="38" spans="1:31" ht="17.25" x14ac:dyDescent="0.3">
      <c r="A38" s="38">
        <v>43820</v>
      </c>
      <c r="B38" s="23" t="s">
        <v>223</v>
      </c>
      <c r="C38" s="23" t="s">
        <v>233</v>
      </c>
      <c r="D38" s="37" t="s">
        <v>48</v>
      </c>
      <c r="E38" s="37">
        <v>1429</v>
      </c>
      <c r="F38" s="39">
        <v>7283</v>
      </c>
      <c r="O38" s="38">
        <v>43420</v>
      </c>
      <c r="P38" s="23" t="s">
        <v>266</v>
      </c>
      <c r="Q38" s="23" t="s">
        <v>258</v>
      </c>
      <c r="R38" s="37" t="s">
        <v>33</v>
      </c>
      <c r="S38" s="37">
        <v>3139</v>
      </c>
      <c r="T38" s="39">
        <v>35360</v>
      </c>
      <c r="Z38" s="36">
        <v>43820</v>
      </c>
      <c r="AA38" s="23" t="s">
        <v>223</v>
      </c>
      <c r="AB38" s="23" t="s">
        <v>233</v>
      </c>
      <c r="AC38" s="37" t="s">
        <v>48</v>
      </c>
      <c r="AD38" s="37">
        <v>1429</v>
      </c>
      <c r="AE38" s="37">
        <v>7283</v>
      </c>
    </row>
    <row r="39" spans="1:31" ht="17.25" x14ac:dyDescent="0.3">
      <c r="A39" s="38">
        <v>44068</v>
      </c>
      <c r="B39" s="23" t="s">
        <v>224</v>
      </c>
      <c r="C39" s="23" t="s">
        <v>234</v>
      </c>
      <c r="D39" s="37" t="s">
        <v>39</v>
      </c>
      <c r="E39" s="37">
        <v>1618</v>
      </c>
      <c r="F39" s="39">
        <v>11552</v>
      </c>
      <c r="O39" s="38">
        <v>43715</v>
      </c>
      <c r="P39" s="23" t="s">
        <v>267</v>
      </c>
      <c r="Q39" s="23" t="s">
        <v>247</v>
      </c>
      <c r="R39" s="37" t="s">
        <v>33</v>
      </c>
      <c r="S39" s="37">
        <v>3149</v>
      </c>
      <c r="T39" s="39">
        <v>35881</v>
      </c>
      <c r="Z39" s="36">
        <v>44068</v>
      </c>
      <c r="AA39" s="23" t="s">
        <v>224</v>
      </c>
      <c r="AB39" s="23" t="s">
        <v>234</v>
      </c>
      <c r="AC39" s="37" t="s">
        <v>39</v>
      </c>
      <c r="AD39" s="37">
        <v>1618</v>
      </c>
      <c r="AE39" s="37">
        <v>11552</v>
      </c>
    </row>
    <row r="40" spans="1:31" ht="17.25" x14ac:dyDescent="0.3">
      <c r="A40" s="38">
        <v>43988</v>
      </c>
      <c r="B40" s="23" t="s">
        <v>225</v>
      </c>
      <c r="C40" s="23" t="s">
        <v>235</v>
      </c>
      <c r="D40" s="37" t="s">
        <v>44</v>
      </c>
      <c r="E40" s="37">
        <v>1650</v>
      </c>
      <c r="F40" s="39">
        <v>16321</v>
      </c>
      <c r="O40" s="38">
        <v>44095</v>
      </c>
      <c r="P40" s="23" t="s">
        <v>268</v>
      </c>
      <c r="Q40" s="23" t="s">
        <v>248</v>
      </c>
      <c r="R40" s="37" t="s">
        <v>39</v>
      </c>
      <c r="S40" s="37">
        <v>3203</v>
      </c>
      <c r="T40" s="39">
        <v>39988</v>
      </c>
      <c r="Z40" s="36">
        <v>43988</v>
      </c>
      <c r="AA40" s="23" t="s">
        <v>225</v>
      </c>
      <c r="AB40" s="23" t="s">
        <v>235</v>
      </c>
      <c r="AC40" s="37" t="s">
        <v>44</v>
      </c>
      <c r="AD40" s="37">
        <v>1650</v>
      </c>
      <c r="AE40" s="37">
        <v>16321</v>
      </c>
    </row>
    <row r="41" spans="1:31" ht="17.25" x14ac:dyDescent="0.3">
      <c r="A41" s="38">
        <v>44018</v>
      </c>
      <c r="B41" s="23" t="s">
        <v>259</v>
      </c>
      <c r="C41" s="23" t="s">
        <v>236</v>
      </c>
      <c r="D41" s="37" t="s">
        <v>44</v>
      </c>
      <c r="E41" s="37">
        <v>1745</v>
      </c>
      <c r="F41" s="39">
        <v>16691</v>
      </c>
      <c r="O41" s="38">
        <v>43427</v>
      </c>
      <c r="P41" s="23" t="s">
        <v>269</v>
      </c>
      <c r="Q41" s="23" t="s">
        <v>249</v>
      </c>
      <c r="R41" s="37" t="s">
        <v>33</v>
      </c>
      <c r="S41" s="37">
        <v>3292</v>
      </c>
      <c r="T41" s="39">
        <v>39989</v>
      </c>
      <c r="Z41" s="36">
        <v>44018</v>
      </c>
      <c r="AA41" s="23" t="s">
        <v>259</v>
      </c>
      <c r="AB41" s="23" t="s">
        <v>236</v>
      </c>
      <c r="AC41" s="37" t="s">
        <v>44</v>
      </c>
      <c r="AD41" s="37">
        <v>1745</v>
      </c>
      <c r="AE41" s="37">
        <v>16691</v>
      </c>
    </row>
    <row r="42" spans="1:31" ht="17.25" x14ac:dyDescent="0.3">
      <c r="A42" s="38">
        <v>43572</v>
      </c>
      <c r="B42" s="23" t="s">
        <v>260</v>
      </c>
      <c r="C42" s="23" t="s">
        <v>237</v>
      </c>
      <c r="D42" s="37" t="s">
        <v>33</v>
      </c>
      <c r="E42" s="37">
        <v>2227</v>
      </c>
      <c r="F42" s="39">
        <v>17789</v>
      </c>
      <c r="O42" s="38">
        <v>43588</v>
      </c>
      <c r="P42" s="23" t="s">
        <v>270</v>
      </c>
      <c r="Q42" s="23" t="s">
        <v>250</v>
      </c>
      <c r="R42" s="37" t="s">
        <v>33</v>
      </c>
      <c r="S42" s="37">
        <v>3497</v>
      </c>
      <c r="T42" s="39">
        <v>40228</v>
      </c>
      <c r="Z42" s="36">
        <v>43572</v>
      </c>
      <c r="AA42" s="23" t="s">
        <v>260</v>
      </c>
      <c r="AB42" s="23" t="s">
        <v>237</v>
      </c>
      <c r="AC42" s="37" t="s">
        <v>33</v>
      </c>
      <c r="AD42" s="37">
        <v>2227</v>
      </c>
      <c r="AE42" s="37">
        <v>17789</v>
      </c>
    </row>
    <row r="43" spans="1:31" ht="17.25" x14ac:dyDescent="0.3">
      <c r="A43" s="38">
        <v>44065</v>
      </c>
      <c r="B43" s="23" t="s">
        <v>261</v>
      </c>
      <c r="C43" s="23" t="s">
        <v>238</v>
      </c>
      <c r="D43" s="37" t="s">
        <v>39</v>
      </c>
      <c r="E43" s="37">
        <v>2436</v>
      </c>
      <c r="F43" s="39">
        <v>18420</v>
      </c>
      <c r="O43" s="38">
        <v>43627</v>
      </c>
      <c r="P43" s="23" t="s">
        <v>271</v>
      </c>
      <c r="Q43" s="23" t="s">
        <v>251</v>
      </c>
      <c r="R43" s="37" t="s">
        <v>39</v>
      </c>
      <c r="S43" s="37">
        <v>3790</v>
      </c>
      <c r="T43" s="39">
        <v>41045</v>
      </c>
      <c r="Z43" s="36">
        <v>44065</v>
      </c>
      <c r="AA43" s="23" t="s">
        <v>261</v>
      </c>
      <c r="AB43" s="23" t="s">
        <v>238</v>
      </c>
      <c r="AC43" s="37" t="s">
        <v>39</v>
      </c>
      <c r="AD43" s="37">
        <v>2436</v>
      </c>
      <c r="AE43" s="37">
        <v>18420</v>
      </c>
    </row>
    <row r="44" spans="1:31" ht="17.25" x14ac:dyDescent="0.3">
      <c r="A44" s="38">
        <v>43839</v>
      </c>
      <c r="B44" s="23" t="s">
        <v>262</v>
      </c>
      <c r="C44" s="23" t="s">
        <v>254</v>
      </c>
      <c r="D44" s="37" t="s">
        <v>44</v>
      </c>
      <c r="E44" s="37">
        <v>2584</v>
      </c>
      <c r="F44" s="39">
        <v>22123</v>
      </c>
      <c r="O44" s="38">
        <v>43842</v>
      </c>
      <c r="P44" s="23" t="s">
        <v>272</v>
      </c>
      <c r="Q44" s="23" t="s">
        <v>252</v>
      </c>
      <c r="R44" s="37" t="s">
        <v>33</v>
      </c>
      <c r="S44" s="37">
        <v>3917</v>
      </c>
      <c r="T44" s="39">
        <v>42463</v>
      </c>
      <c r="Z44" s="36">
        <v>43839</v>
      </c>
      <c r="AA44" s="23" t="s">
        <v>262</v>
      </c>
      <c r="AB44" s="23" t="s">
        <v>254</v>
      </c>
      <c r="AC44" s="37" t="s">
        <v>44</v>
      </c>
      <c r="AD44" s="37">
        <v>2584</v>
      </c>
      <c r="AE44" s="37">
        <v>22123</v>
      </c>
    </row>
    <row r="45" spans="1:31" ht="17.25" x14ac:dyDescent="0.3">
      <c r="A45" s="38">
        <v>43754</v>
      </c>
      <c r="B45" s="23" t="s">
        <v>263</v>
      </c>
      <c r="C45" s="23" t="s">
        <v>255</v>
      </c>
      <c r="D45" s="37" t="s">
        <v>33</v>
      </c>
      <c r="E45" s="37">
        <v>2688</v>
      </c>
      <c r="F45" s="39">
        <v>24848</v>
      </c>
      <c r="O45" s="38">
        <v>44042</v>
      </c>
      <c r="P45" s="23" t="s">
        <v>273</v>
      </c>
      <c r="Q45" s="23" t="s">
        <v>253</v>
      </c>
      <c r="R45" s="37" t="s">
        <v>48</v>
      </c>
      <c r="S45" s="37">
        <v>3934</v>
      </c>
      <c r="T45" s="39">
        <v>43966</v>
      </c>
      <c r="Z45" s="36">
        <v>43754</v>
      </c>
      <c r="AA45" s="23" t="s">
        <v>263</v>
      </c>
      <c r="AB45" s="23" t="s">
        <v>255</v>
      </c>
      <c r="AC45" s="37" t="s">
        <v>33</v>
      </c>
      <c r="AD45" s="37">
        <v>2688</v>
      </c>
      <c r="AE45" s="37">
        <v>24848</v>
      </c>
    </row>
    <row r="46" spans="1:31" ht="17.25" x14ac:dyDescent="0.3">
      <c r="A46" s="38">
        <v>44037</v>
      </c>
      <c r="B46" s="23" t="s">
        <v>264</v>
      </c>
      <c r="C46" s="23" t="s">
        <v>256</v>
      </c>
      <c r="D46" s="37" t="s">
        <v>39</v>
      </c>
      <c r="E46" s="37">
        <v>2917</v>
      </c>
      <c r="F46" s="39">
        <v>32880</v>
      </c>
      <c r="O46" s="38">
        <v>43865</v>
      </c>
      <c r="P46" s="23" t="s">
        <v>274</v>
      </c>
      <c r="Q46" s="23" t="s">
        <v>229</v>
      </c>
      <c r="R46" s="37" t="s">
        <v>39</v>
      </c>
      <c r="S46" s="37">
        <v>4050</v>
      </c>
      <c r="T46" s="39">
        <v>44457</v>
      </c>
      <c r="Z46" s="36">
        <v>44037</v>
      </c>
      <c r="AA46" s="23" t="s">
        <v>264</v>
      </c>
      <c r="AB46" s="23" t="s">
        <v>256</v>
      </c>
      <c r="AC46" s="37" t="s">
        <v>39</v>
      </c>
      <c r="AD46" s="37">
        <v>2917</v>
      </c>
      <c r="AE46" s="37">
        <v>32880</v>
      </c>
    </row>
    <row r="47" spans="1:31" ht="17.25" x14ac:dyDescent="0.3">
      <c r="A47" s="38">
        <v>43950</v>
      </c>
      <c r="B47" s="23" t="s">
        <v>265</v>
      </c>
      <c r="C47" s="23" t="s">
        <v>257</v>
      </c>
      <c r="D47" s="37" t="s">
        <v>33</v>
      </c>
      <c r="E47" s="37">
        <v>2941</v>
      </c>
      <c r="F47" s="39">
        <v>33977</v>
      </c>
      <c r="O47" s="38">
        <v>43712</v>
      </c>
      <c r="P47" s="23" t="s">
        <v>275</v>
      </c>
      <c r="Q47" s="23" t="s">
        <v>230</v>
      </c>
      <c r="R47" s="37" t="s">
        <v>48</v>
      </c>
      <c r="S47" s="37">
        <v>4600</v>
      </c>
      <c r="T47" s="39">
        <v>47310</v>
      </c>
      <c r="Z47" s="36">
        <v>43950</v>
      </c>
      <c r="AA47" s="23" t="s">
        <v>265</v>
      </c>
      <c r="AB47" s="23" t="s">
        <v>257</v>
      </c>
      <c r="AC47" s="37" t="s">
        <v>33</v>
      </c>
      <c r="AD47" s="37">
        <v>2941</v>
      </c>
      <c r="AE47" s="37">
        <v>33977</v>
      </c>
    </row>
    <row r="48" spans="1:31" ht="17.25" x14ac:dyDescent="0.3">
      <c r="A48" s="38">
        <v>43420</v>
      </c>
      <c r="B48" s="23" t="s">
        <v>266</v>
      </c>
      <c r="C48" s="23" t="s">
        <v>258</v>
      </c>
      <c r="D48" s="37" t="s">
        <v>33</v>
      </c>
      <c r="E48" s="37">
        <v>3139</v>
      </c>
      <c r="F48" s="39">
        <v>35360</v>
      </c>
      <c r="O48" s="38">
        <v>43797</v>
      </c>
      <c r="P48" s="23" t="s">
        <v>276</v>
      </c>
      <c r="Q48" s="23" t="s">
        <v>231</v>
      </c>
      <c r="R48" s="37" t="s">
        <v>48</v>
      </c>
      <c r="S48" s="37">
        <v>4749</v>
      </c>
      <c r="T48" s="39">
        <v>51605</v>
      </c>
      <c r="Z48" s="36">
        <v>43420</v>
      </c>
      <c r="AA48" s="23" t="s">
        <v>266</v>
      </c>
      <c r="AB48" s="23" t="s">
        <v>258</v>
      </c>
      <c r="AC48" s="37" t="s">
        <v>33</v>
      </c>
      <c r="AD48" s="37">
        <v>3139</v>
      </c>
      <c r="AE48" s="37">
        <v>35360</v>
      </c>
    </row>
    <row r="49" spans="1:31" ht="17.25" x14ac:dyDescent="0.3">
      <c r="A49" s="38">
        <v>43715</v>
      </c>
      <c r="B49" s="23" t="s">
        <v>267</v>
      </c>
      <c r="C49" s="23" t="s">
        <v>247</v>
      </c>
      <c r="D49" s="37" t="s">
        <v>33</v>
      </c>
      <c r="E49" s="37">
        <v>3149</v>
      </c>
      <c r="F49" s="39">
        <v>35881</v>
      </c>
      <c r="O49" s="38">
        <v>43426</v>
      </c>
      <c r="P49" s="23" t="s">
        <v>277</v>
      </c>
      <c r="Q49" s="23" t="s">
        <v>232</v>
      </c>
      <c r="R49" s="37" t="s">
        <v>44</v>
      </c>
      <c r="S49" s="37">
        <v>4779</v>
      </c>
      <c r="T49" s="39">
        <v>51843</v>
      </c>
      <c r="Z49" s="36">
        <v>43715</v>
      </c>
      <c r="AA49" s="23" t="s">
        <v>267</v>
      </c>
      <c r="AB49" s="23" t="s">
        <v>247</v>
      </c>
      <c r="AC49" s="37" t="s">
        <v>33</v>
      </c>
      <c r="AD49" s="37">
        <v>3149</v>
      </c>
      <c r="AE49" s="37">
        <v>35881</v>
      </c>
    </row>
    <row r="50" spans="1:31" ht="17.25" x14ac:dyDescent="0.3">
      <c r="A50" s="38">
        <v>44095</v>
      </c>
      <c r="B50" s="23" t="s">
        <v>268</v>
      </c>
      <c r="C50" s="23" t="s">
        <v>248</v>
      </c>
      <c r="D50" s="37" t="s">
        <v>39</v>
      </c>
      <c r="E50" s="37">
        <v>3203</v>
      </c>
      <c r="F50" s="39">
        <v>39988</v>
      </c>
      <c r="O50" s="38">
        <v>44562</v>
      </c>
      <c r="P50" s="23" t="s">
        <v>278</v>
      </c>
      <c r="Q50" s="23" t="s">
        <v>232</v>
      </c>
      <c r="R50" s="37" t="s">
        <v>28</v>
      </c>
      <c r="S50" s="37">
        <v>444</v>
      </c>
      <c r="T50" s="39">
        <v>6666</v>
      </c>
      <c r="Z50" s="36">
        <v>44095</v>
      </c>
      <c r="AA50" s="23" t="s">
        <v>268</v>
      </c>
      <c r="AB50" s="23" t="s">
        <v>248</v>
      </c>
      <c r="AC50" s="37" t="s">
        <v>39</v>
      </c>
      <c r="AD50" s="37">
        <v>3203</v>
      </c>
      <c r="AE50" s="37">
        <v>39988</v>
      </c>
    </row>
    <row r="51" spans="1:31" ht="17.25" x14ac:dyDescent="0.3">
      <c r="A51" s="38">
        <v>43427</v>
      </c>
      <c r="B51" s="23" t="s">
        <v>269</v>
      </c>
      <c r="C51" s="23" t="s">
        <v>249</v>
      </c>
      <c r="D51" s="37" t="s">
        <v>33</v>
      </c>
      <c r="E51" s="37">
        <v>3292</v>
      </c>
      <c r="F51" s="39">
        <v>39989</v>
      </c>
      <c r="O51" s="44"/>
      <c r="P51" s="45"/>
      <c r="Q51" s="45"/>
      <c r="R51" s="46" t="s">
        <v>44</v>
      </c>
      <c r="S51" s="46"/>
      <c r="T51" s="47"/>
      <c r="Z51" s="36">
        <v>43427</v>
      </c>
      <c r="AA51" s="23" t="s">
        <v>269</v>
      </c>
      <c r="AB51" s="23" t="s">
        <v>249</v>
      </c>
      <c r="AC51" s="37" t="s">
        <v>33</v>
      </c>
      <c r="AD51" s="37">
        <v>3292</v>
      </c>
      <c r="AE51" s="37">
        <v>39989</v>
      </c>
    </row>
    <row r="52" spans="1:31" ht="17.25" x14ac:dyDescent="0.3">
      <c r="A52" s="38">
        <v>43588</v>
      </c>
      <c r="B52" s="23" t="s">
        <v>270</v>
      </c>
      <c r="C52" s="23" t="s">
        <v>250</v>
      </c>
      <c r="D52" s="37" t="s">
        <v>33</v>
      </c>
      <c r="E52" s="37">
        <v>3497</v>
      </c>
      <c r="F52" s="39">
        <v>40228</v>
      </c>
      <c r="O52" s="44"/>
      <c r="P52" s="45"/>
      <c r="Q52" s="45"/>
      <c r="R52" s="46" t="s">
        <v>33</v>
      </c>
      <c r="S52" s="46"/>
      <c r="T52" s="47"/>
      <c r="Z52" s="36">
        <v>43588</v>
      </c>
      <c r="AA52" s="23" t="s">
        <v>270</v>
      </c>
      <c r="AB52" s="23" t="s">
        <v>250</v>
      </c>
      <c r="AC52" s="37" t="s">
        <v>33</v>
      </c>
      <c r="AD52" s="37">
        <v>3497</v>
      </c>
      <c r="AE52" s="37">
        <v>40228</v>
      </c>
    </row>
    <row r="53" spans="1:31" ht="17.25" x14ac:dyDescent="0.3">
      <c r="A53" s="38">
        <v>43627</v>
      </c>
      <c r="B53" s="23" t="s">
        <v>271</v>
      </c>
      <c r="C53" s="23" t="s">
        <v>251</v>
      </c>
      <c r="D53" s="37" t="s">
        <v>39</v>
      </c>
      <c r="E53" s="37">
        <v>3790</v>
      </c>
      <c r="F53" s="39">
        <v>41045</v>
      </c>
      <c r="O53" s="44"/>
      <c r="P53" s="45"/>
      <c r="Q53" s="45"/>
      <c r="R53" s="46" t="s">
        <v>39</v>
      </c>
      <c r="S53" s="46"/>
      <c r="T53" s="47"/>
      <c r="Z53" s="36">
        <v>43627</v>
      </c>
      <c r="AA53" s="23" t="s">
        <v>271</v>
      </c>
      <c r="AB53" s="23" t="s">
        <v>251</v>
      </c>
      <c r="AC53" s="37" t="s">
        <v>39</v>
      </c>
      <c r="AD53" s="37">
        <v>3790</v>
      </c>
      <c r="AE53" s="37">
        <v>41045</v>
      </c>
    </row>
    <row r="54" spans="1:31" ht="17.25" x14ac:dyDescent="0.3">
      <c r="A54" s="38">
        <v>43842</v>
      </c>
      <c r="B54" s="23" t="s">
        <v>272</v>
      </c>
      <c r="C54" s="23" t="s">
        <v>252</v>
      </c>
      <c r="D54" s="37" t="s">
        <v>33</v>
      </c>
      <c r="E54" s="37">
        <v>3917</v>
      </c>
      <c r="F54" s="39">
        <v>42463</v>
      </c>
      <c r="Z54" s="36">
        <v>43842</v>
      </c>
      <c r="AA54" s="23" t="s">
        <v>272</v>
      </c>
      <c r="AB54" s="23" t="s">
        <v>252</v>
      </c>
      <c r="AC54" s="37" t="s">
        <v>33</v>
      </c>
      <c r="AD54" s="37">
        <v>3917</v>
      </c>
      <c r="AE54" s="37">
        <v>42463</v>
      </c>
    </row>
    <row r="55" spans="1:31" ht="17.25" x14ac:dyDescent="0.3">
      <c r="A55" s="38">
        <v>44042</v>
      </c>
      <c r="B55" s="23" t="s">
        <v>273</v>
      </c>
      <c r="C55" s="23" t="s">
        <v>253</v>
      </c>
      <c r="D55" s="37" t="s">
        <v>48</v>
      </c>
      <c r="E55" s="37">
        <v>3934</v>
      </c>
      <c r="F55" s="39">
        <v>43966</v>
      </c>
      <c r="Z55" s="36">
        <v>44042</v>
      </c>
      <c r="AA55" s="23" t="s">
        <v>273</v>
      </c>
      <c r="AB55" s="23" t="s">
        <v>253</v>
      </c>
      <c r="AC55" s="37" t="s">
        <v>48</v>
      </c>
      <c r="AD55" s="37">
        <v>3934</v>
      </c>
      <c r="AE55" s="37">
        <v>43966</v>
      </c>
    </row>
    <row r="56" spans="1:31" ht="17.25" x14ac:dyDescent="0.3">
      <c r="A56" s="38">
        <v>43865</v>
      </c>
      <c r="B56" s="23" t="s">
        <v>274</v>
      </c>
      <c r="C56" s="23" t="s">
        <v>229</v>
      </c>
      <c r="D56" s="37" t="s">
        <v>39</v>
      </c>
      <c r="E56" s="37">
        <v>4050</v>
      </c>
      <c r="F56" s="39">
        <v>44457</v>
      </c>
      <c r="Z56" s="36">
        <v>43865</v>
      </c>
      <c r="AA56" s="23" t="s">
        <v>274</v>
      </c>
      <c r="AB56" s="23" t="s">
        <v>229</v>
      </c>
      <c r="AC56" s="37" t="s">
        <v>39</v>
      </c>
      <c r="AD56" s="37">
        <v>4050</v>
      </c>
      <c r="AE56" s="37">
        <v>44457</v>
      </c>
    </row>
    <row r="57" spans="1:31" ht="17.25" x14ac:dyDescent="0.3">
      <c r="A57" s="38">
        <v>43712</v>
      </c>
      <c r="B57" s="23" t="s">
        <v>275</v>
      </c>
      <c r="C57" s="23" t="s">
        <v>230</v>
      </c>
      <c r="D57" s="37" t="s">
        <v>48</v>
      </c>
      <c r="E57" s="37">
        <v>4600</v>
      </c>
      <c r="F57" s="39">
        <v>47310</v>
      </c>
      <c r="Z57" s="36">
        <v>43712</v>
      </c>
      <c r="AA57" s="23" t="s">
        <v>275</v>
      </c>
      <c r="AB57" s="23" t="s">
        <v>230</v>
      </c>
      <c r="AC57" s="37" t="s">
        <v>48</v>
      </c>
      <c r="AD57" s="37">
        <v>4600</v>
      </c>
      <c r="AE57" s="37">
        <v>47310</v>
      </c>
    </row>
    <row r="58" spans="1:31" ht="17.25" x14ac:dyDescent="0.3">
      <c r="A58" s="38">
        <v>43797</v>
      </c>
      <c r="B58" s="23" t="s">
        <v>276</v>
      </c>
      <c r="C58" s="23" t="s">
        <v>231</v>
      </c>
      <c r="D58" s="37" t="s">
        <v>48</v>
      </c>
      <c r="E58" s="37">
        <v>4749</v>
      </c>
      <c r="F58" s="39">
        <v>51605</v>
      </c>
      <c r="Z58" s="36">
        <v>43797</v>
      </c>
      <c r="AA58" s="23" t="s">
        <v>276</v>
      </c>
      <c r="AB58" s="23" t="s">
        <v>231</v>
      </c>
      <c r="AC58" s="37" t="s">
        <v>48</v>
      </c>
      <c r="AD58" s="37">
        <v>4749</v>
      </c>
      <c r="AE58" s="37">
        <v>51605</v>
      </c>
    </row>
    <row r="59" spans="1:31" ht="17.25" x14ac:dyDescent="0.3">
      <c r="A59" s="38">
        <v>43426</v>
      </c>
      <c r="B59" s="23" t="s">
        <v>277</v>
      </c>
      <c r="C59" s="23" t="s">
        <v>232</v>
      </c>
      <c r="D59" s="37" t="s">
        <v>44</v>
      </c>
      <c r="E59" s="37">
        <v>4779</v>
      </c>
      <c r="F59" s="39">
        <v>51843</v>
      </c>
      <c r="Z59" s="36">
        <v>43426</v>
      </c>
      <c r="AA59" s="23" t="s">
        <v>277</v>
      </c>
      <c r="AB59" s="23" t="s">
        <v>232</v>
      </c>
      <c r="AC59" s="37" t="s">
        <v>44</v>
      </c>
      <c r="AD59" s="37">
        <v>4779</v>
      </c>
      <c r="AE59" s="37">
        <v>51843</v>
      </c>
    </row>
    <row r="60" spans="1:31" ht="17.25" x14ac:dyDescent="0.3">
      <c r="A60" s="44">
        <v>44562</v>
      </c>
      <c r="B60" s="45" t="s">
        <v>278</v>
      </c>
      <c r="C60" s="45" t="s">
        <v>232</v>
      </c>
      <c r="D60" s="46" t="s">
        <v>28</v>
      </c>
      <c r="E60" s="46">
        <v>444</v>
      </c>
      <c r="F60" s="47">
        <v>6666</v>
      </c>
      <c r="Z60" s="36">
        <v>44562</v>
      </c>
      <c r="AA60" s="23" t="s">
        <v>278</v>
      </c>
      <c r="AB60" s="23" t="s">
        <v>232</v>
      </c>
      <c r="AC60" s="37" t="s">
        <v>28</v>
      </c>
      <c r="AD60" s="37">
        <v>444</v>
      </c>
      <c r="AE60" s="37">
        <v>6666</v>
      </c>
    </row>
    <row r="61" spans="1:31" ht="17.25" x14ac:dyDescent="0.3">
      <c r="A61" s="48" t="s">
        <v>284</v>
      </c>
      <c r="B61" s="45"/>
      <c r="C61" s="45"/>
      <c r="D61" s="46"/>
      <c r="E61" s="46">
        <f>SUBTOTAL(109,Tables!$E$2:$E$60)</f>
        <v>229248</v>
      </c>
      <c r="F61" s="47">
        <f>SUBTOTAL(109,Tables!$F$2:$F$60)</f>
        <v>2151032</v>
      </c>
    </row>
  </sheetData>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4093-59F8-4658-9A66-69E71B5EA356}">
  <dimension ref="A1"/>
  <sheetViews>
    <sheetView workbookViewId="0">
      <selection activeCell="H8" sqref="H8"/>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Sorting</vt:lpstr>
      <vt:lpstr>Filters</vt:lpstr>
      <vt:lpstr>Advanced Filter 1</vt:lpstr>
      <vt:lpstr>Advanced Filter 2</vt:lpstr>
      <vt:lpstr>Advanced Filter 3</vt:lpstr>
      <vt:lpstr>Advanced Filter 4</vt:lpstr>
      <vt:lpstr>Advanced Filter 5</vt:lpstr>
      <vt:lpstr>Advanced Filter 6</vt:lpstr>
      <vt:lpstr>Tables</vt:lpstr>
      <vt:lpstr>Sheet2</vt:lpstr>
      <vt:lpstr>'Advanced Filter 1'!Criteria</vt:lpstr>
      <vt:lpstr>'Advanced Filter 2'!Criteria</vt:lpstr>
      <vt:lpstr>'Advanced Filter 3'!Criteria</vt:lpstr>
      <vt:lpstr>'Advanced Filter 4'!Criteria</vt:lpstr>
      <vt:lpstr>'Advanced Filter 5'!Criteria</vt:lpstr>
      <vt:lpstr>'Advanced Filter 6'!Criteria</vt:lpstr>
      <vt:lpstr>'Advanced Filter 1'!Extract</vt:lpstr>
      <vt:lpstr>'Advanced Filter 2'!Extract</vt:lpstr>
      <vt:lpstr>'Advanced Filter 3'!Extract</vt:lpstr>
      <vt:lpstr>Filters!Extract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Lalwani</dc:creator>
  <cp:lastModifiedBy>Ayushi Singh</cp:lastModifiedBy>
  <dcterms:created xsi:type="dcterms:W3CDTF">2024-09-03T18:29:55Z</dcterms:created>
  <dcterms:modified xsi:type="dcterms:W3CDTF">2025-11-29T16:32:58Z</dcterms:modified>
</cp:coreProperties>
</file>