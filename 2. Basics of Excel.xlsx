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14712AC4-2395-409E-A88B-1B3B9F89ADFE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heet1" sheetId="1" r:id="rId1"/>
    <sheet name="Find, Replace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" i="2" l="1"/>
  <c r="BB2" i="2"/>
  <c r="AY4" i="2"/>
  <c r="AY5" i="2"/>
  <c r="AY6" i="2"/>
  <c r="AY7" i="2"/>
  <c r="AY8" i="2"/>
  <c r="AY9" i="2"/>
  <c r="AY10" i="2"/>
  <c r="AY11" i="2"/>
  <c r="AY12" i="2"/>
  <c r="AY13" i="2"/>
  <c r="AY14" i="2"/>
  <c r="AY3" i="2"/>
  <c r="AS4" i="2" a="1"/>
  <c r="AS4" i="2" s="1"/>
  <c r="AS5" i="2" a="1"/>
  <c r="AS5" i="2"/>
  <c r="AS6" i="2" a="1"/>
  <c r="AS6" i="2" s="1"/>
  <c r="AS7" i="2" a="1"/>
  <c r="AS7" i="2"/>
  <c r="AS8" i="2" a="1"/>
  <c r="AS8" i="2" s="1"/>
  <c r="AS9" i="2" a="1"/>
  <c r="AS9" i="2"/>
  <c r="AS10" i="2" a="1"/>
  <c r="AS10" i="2" s="1"/>
  <c r="AS11" i="2" a="1"/>
  <c r="AS11" i="2"/>
  <c r="AS12" i="2" a="1"/>
  <c r="AS12" i="2" s="1"/>
  <c r="AS13" i="2" a="1"/>
  <c r="AS13" i="2"/>
  <c r="AS14" i="2" a="1"/>
  <c r="AS14" i="2" s="1"/>
  <c r="AS3" i="2" a="1"/>
  <c r="AS3" i="2" s="1"/>
  <c r="AM4" i="2"/>
  <c r="AM5" i="2"/>
  <c r="AM6" i="2"/>
  <c r="AM7" i="2"/>
  <c r="AM8" i="2"/>
  <c r="AM9" i="2"/>
  <c r="AM10" i="2"/>
  <c r="AM11" i="2"/>
  <c r="AM12" i="2"/>
  <c r="AM13" i="2"/>
  <c r="AM14" i="2"/>
  <c r="AM3" i="2"/>
  <c r="AG4" i="2"/>
  <c r="AG5" i="2"/>
  <c r="AG6" i="2"/>
  <c r="AG7" i="2"/>
  <c r="AG8" i="2"/>
  <c r="AG9" i="2"/>
  <c r="AG10" i="2"/>
  <c r="AG11" i="2"/>
  <c r="AG12" i="2"/>
  <c r="AG13" i="2"/>
  <c r="AG14" i="2"/>
  <c r="AG3" i="2"/>
  <c r="AF4" i="2"/>
  <c r="AF5" i="2"/>
  <c r="AF6" i="2"/>
  <c r="AF7" i="2"/>
  <c r="AF8" i="2"/>
  <c r="AF9" i="2"/>
  <c r="AF10" i="2"/>
  <c r="AF11" i="2"/>
  <c r="AF12" i="2"/>
  <c r="AF13" i="2"/>
  <c r="AF14" i="2"/>
  <c r="AF3" i="2"/>
  <c r="AE4" i="2"/>
  <c r="AE5" i="2"/>
  <c r="AE6" i="2"/>
  <c r="AE7" i="2"/>
  <c r="AE8" i="2"/>
  <c r="AE9" i="2"/>
  <c r="AE10" i="2"/>
  <c r="AE11" i="2"/>
  <c r="AE12" i="2"/>
  <c r="AE13" i="2"/>
  <c r="AE14" i="2"/>
  <c r="AE3" i="2"/>
  <c r="AD4" i="2"/>
  <c r="AD5" i="2"/>
  <c r="AD6" i="2"/>
  <c r="AD7" i="2"/>
  <c r="AD8" i="2"/>
  <c r="AD9" i="2"/>
  <c r="AD10" i="2"/>
  <c r="AD11" i="2"/>
  <c r="AD12" i="2"/>
  <c r="AD13" i="2"/>
  <c r="AD14" i="2"/>
  <c r="AD3" i="2"/>
  <c r="AC4" i="2"/>
  <c r="AC5" i="2"/>
  <c r="AC6" i="2"/>
  <c r="AC7" i="2"/>
  <c r="AC8" i="2"/>
  <c r="AC9" i="2"/>
  <c r="AC10" i="2"/>
  <c r="AC11" i="2"/>
  <c r="AC12" i="2"/>
  <c r="AC13" i="2"/>
  <c r="AC14" i="2"/>
  <c r="AC3" i="2"/>
  <c r="AB4" i="2"/>
  <c r="AB5" i="2"/>
  <c r="AB6" i="2"/>
  <c r="AB7" i="2"/>
  <c r="AB8" i="2"/>
  <c r="AB9" i="2"/>
  <c r="AB10" i="2"/>
  <c r="AB11" i="2"/>
  <c r="AB12" i="2"/>
  <c r="AB13" i="2"/>
  <c r="AB14" i="2"/>
  <c r="AB3" i="2"/>
  <c r="S4" i="2"/>
  <c r="S5" i="2"/>
  <c r="S6" i="2"/>
  <c r="S7" i="2"/>
  <c r="S8" i="2"/>
  <c r="S9" i="2"/>
  <c r="S10" i="2"/>
  <c r="S11" i="2"/>
  <c r="S12" i="2"/>
  <c r="S13" i="2"/>
  <c r="S14" i="2"/>
  <c r="S3" i="2"/>
  <c r="W4" i="2"/>
  <c r="W5" i="2"/>
  <c r="W6" i="2"/>
  <c r="W7" i="2"/>
  <c r="W8" i="2"/>
  <c r="W9" i="2"/>
  <c r="W10" i="2"/>
  <c r="W11" i="2"/>
  <c r="W12" i="2"/>
  <c r="W13" i="2"/>
  <c r="W14" i="2"/>
  <c r="W3" i="2"/>
  <c r="V4" i="2"/>
  <c r="V5" i="2"/>
  <c r="V6" i="2"/>
  <c r="V7" i="2"/>
  <c r="V8" i="2"/>
  <c r="V9" i="2"/>
  <c r="V10" i="2"/>
  <c r="V11" i="2"/>
  <c r="V12" i="2"/>
  <c r="V13" i="2"/>
  <c r="V14" i="2"/>
  <c r="V3" i="2"/>
  <c r="R4" i="2"/>
  <c r="R5" i="2"/>
  <c r="R6" i="2"/>
  <c r="R7" i="2"/>
  <c r="R8" i="2"/>
  <c r="R9" i="2"/>
  <c r="R10" i="2"/>
  <c r="R11" i="2"/>
  <c r="R12" i="2"/>
  <c r="R13" i="2"/>
  <c r="R14" i="2"/>
  <c r="R3" i="2"/>
  <c r="O4" i="2"/>
  <c r="O5" i="2"/>
  <c r="O6" i="2"/>
  <c r="O7" i="2"/>
  <c r="O8" i="2"/>
  <c r="O9" i="2"/>
  <c r="O10" i="2"/>
  <c r="O11" i="2"/>
  <c r="O12" i="2"/>
  <c r="O13" i="2"/>
  <c r="O14" i="2"/>
  <c r="O3" i="2"/>
  <c r="N4" i="2"/>
  <c r="N5" i="2"/>
  <c r="N6" i="2"/>
  <c r="N7" i="2"/>
  <c r="N8" i="2"/>
  <c r="N9" i="2"/>
  <c r="N10" i="2"/>
  <c r="N11" i="2"/>
  <c r="N12" i="2"/>
  <c r="N13" i="2"/>
  <c r="N14" i="2"/>
  <c r="N3" i="2"/>
  <c r="J4" i="2"/>
  <c r="J5" i="2"/>
  <c r="J6" i="2"/>
  <c r="J7" i="2"/>
  <c r="J8" i="2"/>
  <c r="J9" i="2"/>
  <c r="J10" i="2"/>
  <c r="J11" i="2"/>
  <c r="J12" i="2"/>
  <c r="J13" i="2"/>
  <c r="J14" i="2"/>
  <c r="J3" i="2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</calcChain>
</file>

<file path=xl/sharedStrings.xml><?xml version="1.0" encoding="utf-8"?>
<sst xmlns="http://schemas.openxmlformats.org/spreadsheetml/2006/main" count="259" uniqueCount="115">
  <si>
    <t xml:space="preserve">Famous Youtubers </t>
  </si>
  <si>
    <t>Today is a beautiful day in Pune. India. Today its raining outside. I want off for school, college and office</t>
  </si>
  <si>
    <t>Sr. No</t>
  </si>
  <si>
    <t>Name of YouTube Channel</t>
  </si>
  <si>
    <t>Name of the Owner</t>
  </si>
  <si>
    <t>Subscribers in Millions</t>
  </si>
  <si>
    <t>T-series</t>
  </si>
  <si>
    <t>Bhushan Kumar</t>
  </si>
  <si>
    <t>SET India</t>
  </si>
  <si>
    <t>Sony Pictures Network</t>
  </si>
  <si>
    <t>Zee Music company</t>
  </si>
  <si>
    <t>Subhash Chandra</t>
  </si>
  <si>
    <t>Sony Music India</t>
  </si>
  <si>
    <t>Sony Entertainment</t>
  </si>
  <si>
    <t>Aaj Tak</t>
  </si>
  <si>
    <t>India Today Group</t>
  </si>
  <si>
    <t>YRF</t>
  </si>
  <si>
    <t>Yash Raj Films</t>
  </si>
  <si>
    <t>CarryMinati</t>
  </si>
  <si>
    <t>Ajey Nagar</t>
  </si>
  <si>
    <t>Ashish Chanchlani Vines</t>
  </si>
  <si>
    <t>Ashish Chanchlani</t>
  </si>
  <si>
    <t>BB Ki Vines</t>
  </si>
  <si>
    <t>Bhuvan Bam</t>
  </si>
  <si>
    <t>Technical Guruji</t>
  </si>
  <si>
    <t>Gaurav Chaudhary</t>
  </si>
  <si>
    <t>MrBeast</t>
  </si>
  <si>
    <t>Jimmy Donaldson</t>
  </si>
  <si>
    <t>PEwdiePie</t>
  </si>
  <si>
    <t>Felix Kjellberg</t>
  </si>
  <si>
    <t>5-minute Crafts</t>
  </si>
  <si>
    <t>THE soul publishing</t>
  </si>
  <si>
    <t>likeNastia</t>
  </si>
  <si>
    <t>anastasia radzinskaya</t>
  </si>
  <si>
    <t>coComelon - Nursery rhymes</t>
  </si>
  <si>
    <t>Jay Jeon</t>
  </si>
  <si>
    <t>Canal Kondzilla</t>
  </si>
  <si>
    <t>Konrad Dantas</t>
  </si>
  <si>
    <t>kids D Iana Show</t>
  </si>
  <si>
    <t>Diana</t>
  </si>
  <si>
    <t>Badabun</t>
  </si>
  <si>
    <t>Various Contributors</t>
  </si>
  <si>
    <t>VanossGaming</t>
  </si>
  <si>
    <t>Evan Fong</t>
  </si>
  <si>
    <t>Markiplier</t>
  </si>
  <si>
    <t>Mark Fischbach</t>
  </si>
  <si>
    <t>Amount</t>
  </si>
  <si>
    <t>Date</t>
  </si>
  <si>
    <t>Numbers</t>
  </si>
  <si>
    <t>Month</t>
  </si>
  <si>
    <t>Left</t>
  </si>
  <si>
    <t>Right</t>
  </si>
  <si>
    <t>Mid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</si>
  <si>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</si>
  <si>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</si>
  <si>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</si>
  <si>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</si>
  <si>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</si>
  <si>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</si>
  <si>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</si>
  <si>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</si>
  <si>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</si>
  <si>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</si>
  <si>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</si>
  <si>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</si>
  <si>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Find</t>
  </si>
  <si>
    <t>Search</t>
  </si>
  <si>
    <t>FIRSTNAME</t>
  </si>
  <si>
    <t>LASTNAME</t>
  </si>
  <si>
    <t>Substitute</t>
  </si>
  <si>
    <t>Replace</t>
  </si>
  <si>
    <t>First Name</t>
  </si>
  <si>
    <t>Last Name</t>
  </si>
  <si>
    <t>Date Of Birth</t>
  </si>
  <si>
    <t>Oscar</t>
  </si>
  <si>
    <t>Dixon</t>
  </si>
  <si>
    <t>Audrey</t>
  </si>
  <si>
    <t>Morrison</t>
  </si>
  <si>
    <t>Alissa</t>
  </si>
  <si>
    <t>Douglas</t>
  </si>
  <si>
    <t>Oliver</t>
  </si>
  <si>
    <t>Brown</t>
  </si>
  <si>
    <t>Lyndon</t>
  </si>
  <si>
    <t>Wilson</t>
  </si>
  <si>
    <t>Steven</t>
  </si>
  <si>
    <t>Russell</t>
  </si>
  <si>
    <t>Agata</t>
  </si>
  <si>
    <t>Miller</t>
  </si>
  <si>
    <t>Tiana</t>
  </si>
  <si>
    <t>Eleanor</t>
  </si>
  <si>
    <t>Cole</t>
  </si>
  <si>
    <t>Jacob</t>
  </si>
  <si>
    <t>Cunningham</t>
  </si>
  <si>
    <t>Frederick</t>
  </si>
  <si>
    <t>Adams</t>
  </si>
  <si>
    <t>Day</t>
  </si>
  <si>
    <t>Year</t>
  </si>
  <si>
    <t>DayofWeek</t>
  </si>
  <si>
    <t>WeekDay</t>
  </si>
  <si>
    <t>WeekNum</t>
  </si>
  <si>
    <t>ItemName</t>
  </si>
  <si>
    <t>Order Date</t>
  </si>
  <si>
    <t>Days To Deliver</t>
  </si>
  <si>
    <t>Chicken</t>
  </si>
  <si>
    <t>Pizza</t>
  </si>
  <si>
    <t>Tuna</t>
  </si>
  <si>
    <t>Fish</t>
  </si>
  <si>
    <t>Keyboard</t>
  </si>
  <si>
    <t>Sausages</t>
  </si>
  <si>
    <t>Car</t>
  </si>
  <si>
    <t>Expected Delivery Date</t>
  </si>
  <si>
    <t>Months To Deliver</t>
  </si>
  <si>
    <t>Years To Deliver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</si>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</sst>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809]dd\ mmmm\ yyyy;@"/>
    <numFmt numFmtId="165" formatCode="dddd"/>
    <numFmt numFmtId="168" formatCode="[$-409]d\-mmm\-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textRotation="180"/>
    </xf>
    <xf numFmtId="9" fontId="0" fillId="0" borderId="0" xfId="1" applyFont="1"/>
    <xf numFmtId="164" fontId="0" fillId="0" borderId="0" xfId="0" applyNumberFormat="1"/>
    <xf numFmtId="44" fontId="0" fillId="0" borderId="0" xfId="0" applyNumberFormat="1"/>
    <xf numFmtId="0" fontId="0" fillId="0" borderId="1" xfId="0" applyBorder="1"/>
    <xf numFmtId="0" fontId="6" fillId="4" borderId="1" xfId="0" applyFont="1" applyFill="1" applyBorder="1" applyAlignment="1"/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7" fillId="5" borderId="0" xfId="0" applyFont="1" applyFill="1" applyBorder="1" applyAlignment="1">
      <alignment vertical="center" wrapText="1"/>
    </xf>
    <xf numFmtId="14" fontId="0" fillId="0" borderId="1" xfId="0" applyNumberFormat="1" applyBorder="1"/>
    <xf numFmtId="165" fontId="0" fillId="0" borderId="1" xfId="0" applyNumberFormat="1" applyBorder="1"/>
    <xf numFmtId="0" fontId="5" fillId="3" borderId="2" xfId="0" applyFont="1" applyFill="1" applyBorder="1" applyAlignment="1">
      <alignment horizontal="left" indent="22"/>
    </xf>
    <xf numFmtId="168" fontId="0" fillId="0" borderId="1" xfId="0" applyNumberFormat="1" applyBorder="1"/>
    <xf numFmtId="22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CEB9AEB8-F358-4AD0-9117-C058818371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zoomScale="130" zoomScaleNormal="130" workbookViewId="0">
      <selection activeCell="B22" sqref="B22"/>
    </sheetView>
  </sheetViews>
  <sheetFormatPr defaultColWidth="25.28515625" defaultRowHeight="15.75" x14ac:dyDescent="0.25"/>
  <cols>
    <col min="1" max="1" width="9.7109375" style="1" customWidth="1"/>
    <col min="2" max="2" width="32.7109375" style="1" customWidth="1"/>
    <col min="3" max="5" width="25.28515625" style="1"/>
    <col min="6" max="6" width="28.28515625" style="1" customWidth="1"/>
    <col min="7" max="16384" width="25.28515625" style="1"/>
  </cols>
  <sheetData>
    <row r="1" spans="1:9" ht="26.25" x14ac:dyDescent="0.4">
      <c r="A1" s="17" t="s">
        <v>0</v>
      </c>
      <c r="B1" s="17"/>
      <c r="C1" s="17"/>
      <c r="D1" s="17"/>
      <c r="I1" s="1" t="s">
        <v>1</v>
      </c>
    </row>
    <row r="2" spans="1:9" x14ac:dyDescent="0.25">
      <c r="A2" s="3" t="s">
        <v>2</v>
      </c>
      <c r="B2" s="3" t="s">
        <v>3</v>
      </c>
      <c r="C2" s="3" t="s">
        <v>4</v>
      </c>
      <c r="D2" s="3" t="s">
        <v>5</v>
      </c>
      <c r="E2" s="2"/>
      <c r="I2" s="1" t="s">
        <v>1</v>
      </c>
    </row>
    <row r="3" spans="1:9" x14ac:dyDescent="0.25">
      <c r="A3" s="4">
        <v>1</v>
      </c>
      <c r="B3" s="4" t="s">
        <v>6</v>
      </c>
      <c r="C3" s="4" t="s">
        <v>7</v>
      </c>
      <c r="D3" s="4">
        <v>250</v>
      </c>
      <c r="F3" s="6"/>
      <c r="I3" s="1" t="s">
        <v>1</v>
      </c>
    </row>
    <row r="4" spans="1:9" x14ac:dyDescent="0.25">
      <c r="A4" s="4">
        <v>2</v>
      </c>
      <c r="B4" s="4" t="s">
        <v>8</v>
      </c>
      <c r="C4" s="4" t="s">
        <v>9</v>
      </c>
      <c r="D4" s="4">
        <v>157</v>
      </c>
      <c r="I4" s="1" t="s">
        <v>1</v>
      </c>
    </row>
    <row r="5" spans="1:9" x14ac:dyDescent="0.25">
      <c r="A5" s="4">
        <v>3</v>
      </c>
      <c r="B5" s="4" t="s">
        <v>10</v>
      </c>
      <c r="C5" s="4" t="s">
        <v>11</v>
      </c>
      <c r="D5" s="5">
        <v>94</v>
      </c>
      <c r="I5" s="1" t="s">
        <v>1</v>
      </c>
    </row>
    <row r="6" spans="1:9" x14ac:dyDescent="0.25">
      <c r="A6" s="4">
        <v>4</v>
      </c>
      <c r="B6" s="4" t="s">
        <v>12</v>
      </c>
      <c r="C6" s="4" t="s">
        <v>13</v>
      </c>
      <c r="D6" s="4">
        <v>52</v>
      </c>
      <c r="E6" s="2"/>
      <c r="I6" s="1" t="s">
        <v>1</v>
      </c>
    </row>
    <row r="7" spans="1:9" x14ac:dyDescent="0.25">
      <c r="A7" s="4">
        <v>5</v>
      </c>
      <c r="B7" s="4" t="s">
        <v>14</v>
      </c>
      <c r="C7" s="4" t="s">
        <v>15</v>
      </c>
      <c r="D7" s="4">
        <v>50</v>
      </c>
      <c r="I7" s="1" t="s">
        <v>1</v>
      </c>
    </row>
    <row r="8" spans="1:9" x14ac:dyDescent="0.25">
      <c r="A8" s="4">
        <v>6</v>
      </c>
      <c r="B8" s="4" t="s">
        <v>16</v>
      </c>
      <c r="C8" s="4" t="s">
        <v>17</v>
      </c>
      <c r="D8" s="4">
        <v>45</v>
      </c>
      <c r="I8" s="1" t="s">
        <v>1</v>
      </c>
    </row>
    <row r="9" spans="1:9" x14ac:dyDescent="0.25">
      <c r="A9" s="4">
        <v>7</v>
      </c>
      <c r="B9" s="4" t="s">
        <v>18</v>
      </c>
      <c r="C9" s="4" t="s">
        <v>19</v>
      </c>
      <c r="D9" s="4">
        <v>40</v>
      </c>
      <c r="I9" s="1" t="s">
        <v>1</v>
      </c>
    </row>
    <row r="10" spans="1:9" x14ac:dyDescent="0.25">
      <c r="A10" s="5">
        <v>8</v>
      </c>
      <c r="B10" s="5" t="s">
        <v>20</v>
      </c>
      <c r="C10" s="5" t="s">
        <v>21</v>
      </c>
      <c r="D10" s="5">
        <v>32</v>
      </c>
      <c r="I10" s="1" t="s">
        <v>1</v>
      </c>
    </row>
    <row r="11" spans="1:9" x14ac:dyDescent="0.25">
      <c r="A11" s="4">
        <v>9</v>
      </c>
      <c r="B11" s="4" t="s">
        <v>22</v>
      </c>
      <c r="C11" s="4" t="s">
        <v>23</v>
      </c>
      <c r="D11" s="4">
        <v>26</v>
      </c>
      <c r="I11" s="1" t="s">
        <v>1</v>
      </c>
    </row>
    <row r="12" spans="1:9" x14ac:dyDescent="0.25">
      <c r="A12" s="4">
        <v>10</v>
      </c>
      <c r="B12" s="4" t="s">
        <v>24</v>
      </c>
      <c r="C12" s="4" t="s">
        <v>25</v>
      </c>
      <c r="D12" s="4">
        <v>22</v>
      </c>
    </row>
    <row r="13" spans="1:9" x14ac:dyDescent="0.25">
      <c r="A13" s="5">
        <v>11</v>
      </c>
      <c r="B13" s="5" t="s">
        <v>26</v>
      </c>
      <c r="C13" s="5" t="s">
        <v>27</v>
      </c>
      <c r="D13" s="5">
        <v>176</v>
      </c>
    </row>
    <row r="14" spans="1:9" x14ac:dyDescent="0.25">
      <c r="A14" s="4">
        <v>12</v>
      </c>
      <c r="B14" s="4" t="s">
        <v>28</v>
      </c>
      <c r="C14" s="4" t="s">
        <v>29</v>
      </c>
      <c r="D14" s="4">
        <v>111</v>
      </c>
    </row>
    <row r="15" spans="1:9" x14ac:dyDescent="0.25">
      <c r="A15" s="4">
        <v>13</v>
      </c>
      <c r="B15" s="4" t="s">
        <v>30</v>
      </c>
      <c r="C15" s="4" t="s">
        <v>31</v>
      </c>
      <c r="D15" s="4">
        <v>78</v>
      </c>
    </row>
    <row r="16" spans="1:9" x14ac:dyDescent="0.25">
      <c r="A16" s="4">
        <v>14</v>
      </c>
      <c r="B16" s="4" t="s">
        <v>32</v>
      </c>
      <c r="C16" s="4" t="s">
        <v>33</v>
      </c>
      <c r="D16" s="4">
        <v>106</v>
      </c>
    </row>
    <row r="17" spans="1:4" x14ac:dyDescent="0.25">
      <c r="A17" s="4">
        <v>15</v>
      </c>
      <c r="B17" s="4" t="s">
        <v>34</v>
      </c>
      <c r="C17" s="4" t="s">
        <v>35</v>
      </c>
      <c r="D17" s="4">
        <v>163</v>
      </c>
    </row>
    <row r="18" spans="1:4" x14ac:dyDescent="0.25">
      <c r="A18" s="4">
        <v>16</v>
      </c>
      <c r="B18" s="4" t="s">
        <v>36</v>
      </c>
      <c r="C18" s="5" t="s">
        <v>37</v>
      </c>
      <c r="D18" s="4">
        <v>66</v>
      </c>
    </row>
    <row r="19" spans="1:4" x14ac:dyDescent="0.25">
      <c r="A19" s="4">
        <v>17</v>
      </c>
      <c r="B19" s="4" t="s">
        <v>38</v>
      </c>
      <c r="C19" s="4" t="s">
        <v>39</v>
      </c>
      <c r="D19" s="4">
        <v>115</v>
      </c>
    </row>
    <row r="20" spans="1:4" x14ac:dyDescent="0.25">
      <c r="A20" s="4">
        <v>18</v>
      </c>
      <c r="B20" s="4" t="s">
        <v>40</v>
      </c>
      <c r="C20" s="4" t="s">
        <v>41</v>
      </c>
      <c r="D20" s="4">
        <v>44</v>
      </c>
    </row>
    <row r="21" spans="1:4" x14ac:dyDescent="0.25">
      <c r="A21" s="4">
        <v>19</v>
      </c>
      <c r="B21" s="4" t="s">
        <v>42</v>
      </c>
      <c r="C21" s="4" t="s">
        <v>43</v>
      </c>
      <c r="D21" s="4">
        <v>25</v>
      </c>
    </row>
    <row r="22" spans="1:4" x14ac:dyDescent="0.25">
      <c r="A22" s="4">
        <v>20</v>
      </c>
      <c r="B22" s="4" t="s">
        <v>44</v>
      </c>
      <c r="C22" s="4" t="s">
        <v>45</v>
      </c>
      <c r="D22" s="4">
        <v>35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AE64-8C65-47BD-B376-048B66FF8379}">
  <dimension ref="A1:I22"/>
  <sheetViews>
    <sheetView showGridLines="0" topLeftCell="A7" zoomScale="130" zoomScaleNormal="130" workbookViewId="0">
      <selection activeCell="C2" sqref="C2:C22"/>
    </sheetView>
  </sheetViews>
  <sheetFormatPr defaultColWidth="25.28515625" defaultRowHeight="15.75" x14ac:dyDescent="0.25"/>
  <cols>
    <col min="1" max="1" width="9.7109375" style="1" customWidth="1"/>
    <col min="2" max="2" width="32.7109375" style="1" customWidth="1"/>
    <col min="3" max="5" width="25.28515625" style="1"/>
    <col min="6" max="6" width="28.28515625" style="1" customWidth="1"/>
    <col min="7" max="16384" width="25.28515625" style="1"/>
  </cols>
  <sheetData>
    <row r="1" spans="1:9" ht="26.25" x14ac:dyDescent="0.4">
      <c r="A1" s="17" t="s">
        <v>0</v>
      </c>
      <c r="B1" s="17"/>
      <c r="C1" s="17"/>
      <c r="D1" s="17"/>
      <c r="I1" s="1" t="s">
        <v>1</v>
      </c>
    </row>
    <row r="2" spans="1:9" x14ac:dyDescent="0.25">
      <c r="A2" s="3" t="s">
        <v>2</v>
      </c>
      <c r="B2" s="3" t="s">
        <v>3</v>
      </c>
      <c r="C2" s="3" t="s">
        <v>4</v>
      </c>
      <c r="D2" s="3" t="s">
        <v>5</v>
      </c>
      <c r="E2" s="2"/>
      <c r="I2" s="1" t="s">
        <v>1</v>
      </c>
    </row>
    <row r="3" spans="1:9" x14ac:dyDescent="0.25">
      <c r="A3" s="4">
        <v>1</v>
      </c>
      <c r="B3" s="4" t="s">
        <v>6</v>
      </c>
      <c r="C3" s="4" t="s">
        <v>7</v>
      </c>
      <c r="D3" s="4">
        <v>250</v>
      </c>
      <c r="F3" s="6"/>
      <c r="I3" s="1" t="s">
        <v>1</v>
      </c>
    </row>
    <row r="4" spans="1:9" x14ac:dyDescent="0.25">
      <c r="A4" s="4">
        <v>2</v>
      </c>
      <c r="B4" s="4" t="s">
        <v>8</v>
      </c>
      <c r="C4" s="4" t="s">
        <v>9</v>
      </c>
      <c r="D4" s="4">
        <v>157</v>
      </c>
      <c r="I4" s="1" t="s">
        <v>1</v>
      </c>
    </row>
    <row r="5" spans="1:9" x14ac:dyDescent="0.25">
      <c r="A5" s="4">
        <v>3</v>
      </c>
      <c r="B5" s="4" t="s">
        <v>10</v>
      </c>
      <c r="C5" s="4" t="s">
        <v>11</v>
      </c>
      <c r="D5" s="5">
        <v>94</v>
      </c>
      <c r="I5" s="1" t="s">
        <v>1</v>
      </c>
    </row>
    <row r="6" spans="1:9" x14ac:dyDescent="0.25">
      <c r="A6" s="4">
        <v>4</v>
      </c>
      <c r="B6" s="4" t="s">
        <v>12</v>
      </c>
      <c r="C6" s="4" t="s">
        <v>13</v>
      </c>
      <c r="D6" s="4">
        <v>52</v>
      </c>
      <c r="E6" s="2"/>
      <c r="I6" s="1" t="s">
        <v>1</v>
      </c>
    </row>
    <row r="7" spans="1:9" x14ac:dyDescent="0.25">
      <c r="A7" s="4">
        <v>5</v>
      </c>
      <c r="B7" s="4" t="s">
        <v>14</v>
      </c>
      <c r="C7" s="4" t="s">
        <v>15</v>
      </c>
      <c r="D7" s="4">
        <v>50</v>
      </c>
      <c r="I7" s="1" t="s">
        <v>1</v>
      </c>
    </row>
    <row r="8" spans="1:9" x14ac:dyDescent="0.25">
      <c r="A8" s="4">
        <v>6</v>
      </c>
      <c r="B8" s="4" t="s">
        <v>16</v>
      </c>
      <c r="C8" s="4" t="s">
        <v>17</v>
      </c>
      <c r="D8" s="4">
        <v>45</v>
      </c>
      <c r="I8" s="1" t="s">
        <v>1</v>
      </c>
    </row>
    <row r="9" spans="1:9" x14ac:dyDescent="0.25">
      <c r="A9" s="4">
        <v>7</v>
      </c>
      <c r="B9" s="4" t="s">
        <v>18</v>
      </c>
      <c r="C9" s="4" t="s">
        <v>19</v>
      </c>
      <c r="D9" s="4">
        <v>40</v>
      </c>
      <c r="I9" s="1" t="s">
        <v>1</v>
      </c>
    </row>
    <row r="10" spans="1:9" x14ac:dyDescent="0.25">
      <c r="A10" s="5">
        <v>8</v>
      </c>
      <c r="B10" s="5" t="s">
        <v>20</v>
      </c>
      <c r="C10" s="5" t="s">
        <v>21</v>
      </c>
      <c r="D10" s="5">
        <v>32</v>
      </c>
      <c r="I10" s="1" t="s">
        <v>1</v>
      </c>
    </row>
    <row r="11" spans="1:9" x14ac:dyDescent="0.25">
      <c r="A11" s="4">
        <v>9</v>
      </c>
      <c r="B11" s="4" t="s">
        <v>22</v>
      </c>
      <c r="C11" s="4" t="s">
        <v>23</v>
      </c>
      <c r="D11" s="4">
        <v>26</v>
      </c>
      <c r="I11" s="1" t="s">
        <v>1</v>
      </c>
    </row>
    <row r="12" spans="1:9" x14ac:dyDescent="0.25">
      <c r="A12" s="4">
        <v>10</v>
      </c>
      <c r="B12" s="4" t="s">
        <v>24</v>
      </c>
      <c r="C12" s="4" t="s">
        <v>25</v>
      </c>
      <c r="D12" s="4">
        <v>22</v>
      </c>
    </row>
    <row r="13" spans="1:9" x14ac:dyDescent="0.25">
      <c r="A13" s="5">
        <v>11</v>
      </c>
      <c r="B13" s="5" t="s">
        <v>26</v>
      </c>
      <c r="C13" s="5" t="s">
        <v>27</v>
      </c>
      <c r="D13" s="5">
        <v>176</v>
      </c>
    </row>
    <row r="14" spans="1:9" x14ac:dyDescent="0.25">
      <c r="A14" s="4">
        <v>12</v>
      </c>
      <c r="B14" s="4" t="s">
        <v>28</v>
      </c>
      <c r="C14" s="4" t="s">
        <v>29</v>
      </c>
      <c r="D14" s="4">
        <v>111</v>
      </c>
    </row>
    <row r="15" spans="1:9" x14ac:dyDescent="0.25">
      <c r="A15" s="4">
        <v>13</v>
      </c>
      <c r="B15" s="4" t="s">
        <v>30</v>
      </c>
      <c r="C15" s="4" t="s">
        <v>31</v>
      </c>
      <c r="D15" s="4">
        <v>78</v>
      </c>
    </row>
    <row r="16" spans="1:9" x14ac:dyDescent="0.25">
      <c r="A16" s="4">
        <v>14</v>
      </c>
      <c r="B16" s="4" t="s">
        <v>32</v>
      </c>
      <c r="C16" s="4" t="s">
        <v>33</v>
      </c>
      <c r="D16" s="4">
        <v>106</v>
      </c>
    </row>
    <row r="17" spans="1:4" x14ac:dyDescent="0.25">
      <c r="A17" s="4">
        <v>15</v>
      </c>
      <c r="B17" s="4" t="s">
        <v>34</v>
      </c>
      <c r="C17" s="4" t="s">
        <v>35</v>
      </c>
      <c r="D17" s="4">
        <v>163</v>
      </c>
    </row>
    <row r="18" spans="1:4" x14ac:dyDescent="0.25">
      <c r="A18" s="4">
        <v>16</v>
      </c>
      <c r="B18" s="4" t="s">
        <v>36</v>
      </c>
      <c r="C18" s="5" t="s">
        <v>37</v>
      </c>
      <c r="D18" s="4">
        <v>66</v>
      </c>
    </row>
    <row r="19" spans="1:4" x14ac:dyDescent="0.25">
      <c r="A19" s="4">
        <v>17</v>
      </c>
      <c r="B19" s="4" t="s">
        <v>38</v>
      </c>
      <c r="C19" s="4" t="s">
        <v>39</v>
      </c>
      <c r="D19" s="4">
        <v>115</v>
      </c>
    </row>
    <row r="20" spans="1:4" x14ac:dyDescent="0.25">
      <c r="A20" s="4">
        <v>18</v>
      </c>
      <c r="B20" s="4" t="s">
        <v>40</v>
      </c>
      <c r="C20" s="4" t="s">
        <v>41</v>
      </c>
      <c r="D20" s="4">
        <v>44</v>
      </c>
    </row>
    <row r="21" spans="1:4" x14ac:dyDescent="0.25">
      <c r="A21" s="4">
        <v>19</v>
      </c>
      <c r="B21" s="4" t="s">
        <v>42</v>
      </c>
      <c r="C21" s="4" t="s">
        <v>43</v>
      </c>
      <c r="D21" s="4">
        <v>25</v>
      </c>
    </row>
    <row r="22" spans="1:4" x14ac:dyDescent="0.25">
      <c r="A22" s="4">
        <v>20</v>
      </c>
      <c r="B22" s="4" t="s">
        <v>44</v>
      </c>
      <c r="C22" s="4" t="s">
        <v>45</v>
      </c>
      <c r="D22" s="4">
        <v>35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4BF8-F679-47F3-B9D6-9F40F12A8708}">
  <dimension ref="A2:BB24"/>
  <sheetViews>
    <sheetView tabSelected="1" topLeftCell="AU1" zoomScaleNormal="100" workbookViewId="0">
      <selection activeCell="BB6" sqref="BB6"/>
    </sheetView>
  </sheetViews>
  <sheetFormatPr defaultColWidth="16.140625" defaultRowHeight="15" x14ac:dyDescent="0.25"/>
  <cols>
    <col min="3" max="3" width="27.85546875" bestFit="1" customWidth="1"/>
    <col min="17" max="17" width="23.5703125" customWidth="1"/>
    <col min="19" max="19" width="17.85546875" customWidth="1"/>
    <col min="21" max="21" width="27.28515625" customWidth="1"/>
    <col min="22" max="22" width="23" customWidth="1"/>
    <col min="23" max="23" width="20.5703125" customWidth="1"/>
    <col min="37" max="37" width="65.140625" bestFit="1" customWidth="1"/>
    <col min="39" max="39" width="22" bestFit="1" customWidth="1"/>
    <col min="45" max="45" width="22" bestFit="1" customWidth="1"/>
    <col min="50" max="50" width="17.5703125" bestFit="1" customWidth="1"/>
    <col min="51" max="51" width="22" bestFit="1" customWidth="1"/>
  </cols>
  <sheetData>
    <row r="2" spans="1:54" x14ac:dyDescent="0.25">
      <c r="A2" t="s">
        <v>46</v>
      </c>
      <c r="C2" t="s">
        <v>47</v>
      </c>
      <c r="E2" t="s">
        <v>48</v>
      </c>
      <c r="G2" s="11" t="s">
        <v>49</v>
      </c>
      <c r="H2" s="11" t="s">
        <v>51</v>
      </c>
      <c r="I2" s="11" t="s">
        <v>50</v>
      </c>
      <c r="J2" s="11" t="s">
        <v>52</v>
      </c>
      <c r="M2" s="11" t="s">
        <v>49</v>
      </c>
      <c r="N2" s="11" t="s">
        <v>65</v>
      </c>
      <c r="O2" s="11" t="s">
        <v>66</v>
      </c>
      <c r="Q2" s="11" t="s">
        <v>4</v>
      </c>
      <c r="R2" s="11" t="s">
        <v>67</v>
      </c>
      <c r="S2" s="11" t="s">
        <v>68</v>
      </c>
      <c r="U2" s="11" t="s">
        <v>4</v>
      </c>
      <c r="V2" s="11" t="s">
        <v>69</v>
      </c>
      <c r="W2" s="11" t="s">
        <v>70</v>
      </c>
      <c r="Y2" s="11" t="s">
        <v>71</v>
      </c>
      <c r="Z2" s="11" t="s">
        <v>72</v>
      </c>
      <c r="AA2" s="11" t="s">
        <v>73</v>
      </c>
      <c r="AB2" s="11" t="s">
        <v>95</v>
      </c>
      <c r="AC2" s="11" t="s">
        <v>49</v>
      </c>
      <c r="AD2" s="11" t="s">
        <v>96</v>
      </c>
      <c r="AE2" s="11" t="s">
        <v>97</v>
      </c>
      <c r="AF2" s="11" t="s">
        <v>98</v>
      </c>
      <c r="AG2" s="11" t="s">
        <v>99</v>
      </c>
      <c r="AJ2" s="11" t="s">
        <v>100</v>
      </c>
      <c r="AK2" s="11" t="s">
        <v>101</v>
      </c>
      <c r="AL2" s="11" t="s">
        <v>102</v>
      </c>
      <c r="AM2" s="11" t="s">
        <v>110</v>
      </c>
      <c r="AP2" s="11" t="s">
        <v>100</v>
      </c>
      <c r="AQ2" s="11" t="s">
        <v>101</v>
      </c>
      <c r="AR2" s="11" t="s">
        <v>111</v>
      </c>
      <c r="AS2" s="11" t="s">
        <v>110</v>
      </c>
      <c r="AV2" s="11" t="s">
        <v>100</v>
      </c>
      <c r="AW2" s="11" t="s">
        <v>101</v>
      </c>
      <c r="AX2" s="11" t="s">
        <v>112</v>
      </c>
      <c r="AY2" s="11" t="s">
        <v>110</v>
      </c>
      <c r="BA2" s="11" t="s">
        <v>113</v>
      </c>
      <c r="BB2" s="15">
        <f ca="1">TODAY()</f>
        <v>45960</v>
      </c>
    </row>
    <row r="3" spans="1:54" x14ac:dyDescent="0.25">
      <c r="A3" s="7">
        <v>10</v>
      </c>
      <c r="C3" s="8">
        <v>45532</v>
      </c>
      <c r="E3" s="9">
        <v>25.25</v>
      </c>
      <c r="G3" s="10" t="s">
        <v>53</v>
      </c>
      <c r="H3" s="10" t="str">
        <f>RIGHT(G3,3)</f>
        <v>ary</v>
      </c>
      <c r="I3" s="10" t="str">
        <f>LEFT(G3,3)</f>
        <v>Jan</v>
      </c>
      <c r="J3" s="10" t="str">
        <f>MID(G3,2,3)</f>
        <v>anu</v>
      </c>
      <c r="M3" s="10" t="s">
        <v>53</v>
      </c>
      <c r="N3" s="10">
        <f>FIND("a",M3)</f>
        <v>2</v>
      </c>
      <c r="O3" s="10">
        <f>SEARCH("a",M3)</f>
        <v>2</v>
      </c>
      <c r="Q3" s="10" t="s">
        <v>7</v>
      </c>
      <c r="R3" s="10" t="str">
        <f>LEFT(Q3,FIND(" ",Q3))</f>
        <v xml:space="preserve">Bhushan </v>
      </c>
      <c r="S3" s="10" t="str">
        <f>REPLACE(Q3,1,FIND(" ",Q3)," ")</f>
        <v xml:space="preserve"> Kumar</v>
      </c>
      <c r="U3" s="10" t="s">
        <v>7</v>
      </c>
      <c r="V3" s="10" t="str">
        <f>SUBSTITUTE(U3,"a","z")</f>
        <v>Bhushzn Kumzr</v>
      </c>
      <c r="W3" s="10" t="str">
        <f>REPLACE(U3,8,10,"z")</f>
        <v>Bhushanz</v>
      </c>
      <c r="Y3" s="10" t="s">
        <v>74</v>
      </c>
      <c r="Z3" s="10" t="s">
        <v>75</v>
      </c>
      <c r="AA3" s="15">
        <v>7</v>
      </c>
      <c r="AB3" s="10">
        <f>DAY(AA3)</f>
        <v>7</v>
      </c>
      <c r="AC3" s="10">
        <f>MONTH(AA3)</f>
        <v>1</v>
      </c>
      <c r="AD3" s="10">
        <f>YEAR(AA3)</f>
        <v>1900</v>
      </c>
      <c r="AE3" s="16">
        <f>AA3</f>
        <v>7</v>
      </c>
      <c r="AF3" s="10">
        <f>WEEKDAY(AA3)</f>
        <v>7</v>
      </c>
      <c r="AG3" s="10">
        <f>WEEKNUM(AA3)</f>
        <v>1</v>
      </c>
      <c r="AJ3" s="10" t="s">
        <v>103</v>
      </c>
      <c r="AK3" s="18">
        <v>45719</v>
      </c>
      <c r="AL3" s="10">
        <v>7</v>
      </c>
      <c r="AM3" s="15">
        <f>AK3+AL3</f>
        <v>45726</v>
      </c>
      <c r="AP3" s="10" t="s">
        <v>103</v>
      </c>
      <c r="AQ3" s="18">
        <v>45719</v>
      </c>
      <c r="AR3" s="10">
        <v>7</v>
      </c>
      <c r="AS3" s="15">
        <f t="array" ref="AS3">EDATE(AQ3,AR3)</f>
        <v>45933</v>
      </c>
      <c r="AV3" s="10" t="s">
        <v>103</v>
      </c>
      <c r="AW3" s="18">
        <v>45719</v>
      </c>
      <c r="AX3" s="10">
        <v>7</v>
      </c>
      <c r="AY3" s="18">
        <f>EDATE(AW3,AX3*12)</f>
        <v>48276</v>
      </c>
      <c r="BA3" s="11" t="s">
        <v>114</v>
      </c>
      <c r="BB3" s="19">
        <f ca="1">NOW()</f>
        <v>45960.484839351855</v>
      </c>
    </row>
    <row r="4" spans="1:54" x14ac:dyDescent="0.25">
      <c r="A4" s="7">
        <v>20</v>
      </c>
      <c r="C4" s="8">
        <v>45533</v>
      </c>
      <c r="E4" s="9">
        <v>65.36</v>
      </c>
      <c r="G4" s="10" t="s">
        <v>54</v>
      </c>
      <c r="H4" s="10" t="str">
        <f t="shared" ref="H4:H14" si="0">RIGHT(G4,3)</f>
        <v>ary</v>
      </c>
      <c r="I4" s="10" t="str">
        <f t="shared" ref="I4:I14" si="1">LEFT(G4,3)</f>
        <v>Feb</v>
      </c>
      <c r="J4" s="10" t="str">
        <f t="shared" ref="J4:J14" si="2">MID(G4,2,3)</f>
        <v>ebr</v>
      </c>
      <c r="M4" s="10" t="s">
        <v>54</v>
      </c>
      <c r="N4" s="10">
        <f t="shared" ref="N4:N14" si="3">FIND("a",M4)</f>
        <v>6</v>
      </c>
      <c r="O4" s="10">
        <f t="shared" ref="O4:O14" si="4">SEARCH("a",M4)</f>
        <v>6</v>
      </c>
      <c r="Q4" s="10" t="s">
        <v>9</v>
      </c>
      <c r="R4" s="10" t="str">
        <f t="shared" ref="R4:R14" si="5">LEFT(Q4,FIND(" ",Q4))</f>
        <v xml:space="preserve">Sony </v>
      </c>
      <c r="S4" s="10" t="str">
        <f t="shared" ref="S4:S14" si="6">REPLACE(Q4,1,FIND(" ",Q4)," ")</f>
        <v xml:space="preserve"> Pictures Network</v>
      </c>
      <c r="U4" s="10" t="s">
        <v>9</v>
      </c>
      <c r="V4" s="10" t="str">
        <f t="shared" ref="V4:V14" si="7">SUBSTITUTE(U4,"a","z")</f>
        <v>Sony Pictures Network</v>
      </c>
      <c r="W4" s="10" t="str">
        <f t="shared" ref="W4:W14" si="8">REPLACE(U4,8,10,"z")</f>
        <v>Sony Pizwork</v>
      </c>
      <c r="Y4" s="10" t="s">
        <v>76</v>
      </c>
      <c r="Z4" s="10" t="s">
        <v>77</v>
      </c>
      <c r="AA4" s="15">
        <v>3</v>
      </c>
      <c r="AB4" s="10">
        <f t="shared" ref="AB4:AB14" si="9">DAY(AA4)</f>
        <v>3</v>
      </c>
      <c r="AC4" s="10">
        <f t="shared" ref="AC4:AC14" si="10">MONTH(AA4)</f>
        <v>1</v>
      </c>
      <c r="AD4" s="10">
        <f t="shared" ref="AD4:AD14" si="11">YEAR(AA4)</f>
        <v>1900</v>
      </c>
      <c r="AE4" s="16">
        <f t="shared" ref="AE4:AE14" si="12">AA4</f>
        <v>3</v>
      </c>
      <c r="AF4" s="10">
        <f t="shared" ref="AF4:AF14" si="13">WEEKDAY(AA4)</f>
        <v>3</v>
      </c>
      <c r="AG4" s="10">
        <f t="shared" ref="AG4:AG14" si="14">WEEKNUM(AA4)</f>
        <v>1</v>
      </c>
      <c r="AJ4" s="10" t="s">
        <v>104</v>
      </c>
      <c r="AK4" s="18">
        <v>45723</v>
      </c>
      <c r="AL4" s="10">
        <v>8</v>
      </c>
      <c r="AM4" s="15">
        <f t="shared" ref="AM4:AM14" si="15">AK4+AL4</f>
        <v>45731</v>
      </c>
      <c r="AP4" s="10" t="s">
        <v>104</v>
      </c>
      <c r="AQ4" s="18">
        <v>45723</v>
      </c>
      <c r="AR4" s="10">
        <v>8</v>
      </c>
      <c r="AS4" s="15">
        <f t="array" ref="AS4">EDATE(AQ4,AR4)</f>
        <v>45968</v>
      </c>
      <c r="AV4" s="10" t="s">
        <v>104</v>
      </c>
      <c r="AW4" s="18">
        <v>45723</v>
      </c>
      <c r="AX4" s="10">
        <v>8</v>
      </c>
      <c r="AY4" s="18">
        <f t="shared" ref="AY4:AY14" si="16">EDATE(AW4,AX4*12)</f>
        <v>48645</v>
      </c>
    </row>
    <row r="5" spans="1:54" x14ac:dyDescent="0.25">
      <c r="A5" s="7">
        <v>30</v>
      </c>
      <c r="C5" s="8">
        <v>45534</v>
      </c>
      <c r="E5" s="9">
        <v>25.36</v>
      </c>
      <c r="G5" s="10" t="s">
        <v>55</v>
      </c>
      <c r="H5" s="10" t="str">
        <f t="shared" si="0"/>
        <v>rch</v>
      </c>
      <c r="I5" s="10" t="str">
        <f t="shared" si="1"/>
        <v>Mar</v>
      </c>
      <c r="J5" s="10" t="str">
        <f t="shared" si="2"/>
        <v>arc</v>
      </c>
      <c r="M5" s="10" t="s">
        <v>55</v>
      </c>
      <c r="N5" s="10">
        <f t="shared" si="3"/>
        <v>2</v>
      </c>
      <c r="O5" s="10">
        <f t="shared" si="4"/>
        <v>2</v>
      </c>
      <c r="Q5" s="10" t="s">
        <v>11</v>
      </c>
      <c r="R5" s="10" t="str">
        <f t="shared" si="5"/>
        <v xml:space="preserve">Subhash </v>
      </c>
      <c r="S5" s="10" t="str">
        <f t="shared" si="6"/>
        <v xml:space="preserve"> Chandra</v>
      </c>
      <c r="U5" s="10" t="s">
        <v>11</v>
      </c>
      <c r="V5" s="10" t="str">
        <f t="shared" si="7"/>
        <v>Subhzsh Chzndrz</v>
      </c>
      <c r="W5" s="10" t="str">
        <f t="shared" si="8"/>
        <v>Subhashz</v>
      </c>
      <c r="Y5" s="10" t="s">
        <v>78</v>
      </c>
      <c r="Z5" s="10" t="s">
        <v>79</v>
      </c>
      <c r="AA5" s="15">
        <v>5</v>
      </c>
      <c r="AB5" s="10">
        <f t="shared" si="9"/>
        <v>5</v>
      </c>
      <c r="AC5" s="10">
        <f t="shared" si="10"/>
        <v>1</v>
      </c>
      <c r="AD5" s="10">
        <f t="shared" si="11"/>
        <v>1900</v>
      </c>
      <c r="AE5" s="16">
        <f t="shared" si="12"/>
        <v>5</v>
      </c>
      <c r="AF5" s="10">
        <f t="shared" si="13"/>
        <v>5</v>
      </c>
      <c r="AG5" s="10">
        <f t="shared" si="14"/>
        <v>1</v>
      </c>
      <c r="AJ5" s="10" t="s">
        <v>105</v>
      </c>
      <c r="AK5" s="18">
        <v>45725</v>
      </c>
      <c r="AL5" s="10">
        <v>4</v>
      </c>
      <c r="AM5" s="15">
        <f t="shared" si="15"/>
        <v>45729</v>
      </c>
      <c r="AP5" s="10" t="s">
        <v>105</v>
      </c>
      <c r="AQ5" s="18">
        <v>45725</v>
      </c>
      <c r="AR5" s="10">
        <v>4</v>
      </c>
      <c r="AS5" s="15">
        <f t="array" ref="AS5">EDATE(AQ5,AR5)</f>
        <v>45847</v>
      </c>
      <c r="AV5" s="10" t="s">
        <v>105</v>
      </c>
      <c r="AW5" s="18">
        <v>45725</v>
      </c>
      <c r="AX5" s="10">
        <v>4</v>
      </c>
      <c r="AY5" s="18">
        <f t="shared" si="16"/>
        <v>47186</v>
      </c>
    </row>
    <row r="6" spans="1:54" x14ac:dyDescent="0.25">
      <c r="A6" s="7">
        <v>40</v>
      </c>
      <c r="C6" s="8">
        <v>45535</v>
      </c>
      <c r="E6" s="9">
        <v>45.95</v>
      </c>
      <c r="G6" s="10" t="s">
        <v>56</v>
      </c>
      <c r="H6" s="10" t="str">
        <f t="shared" si="0"/>
        <v>ril</v>
      </c>
      <c r="I6" s="10" t="str">
        <f t="shared" si="1"/>
        <v>Apr</v>
      </c>
      <c r="J6" s="10" t="str">
        <f t="shared" si="2"/>
        <v>pri</v>
      </c>
      <c r="M6" s="10" t="s">
        <v>56</v>
      </c>
      <c r="N6" s="10" t="e">
        <f t="shared" si="3"/>
        <v>#VALUE!</v>
      </c>
      <c r="O6" s="10">
        <f t="shared" si="4"/>
        <v>1</v>
      </c>
      <c r="Q6" s="10" t="s">
        <v>13</v>
      </c>
      <c r="R6" s="10" t="str">
        <f t="shared" si="5"/>
        <v xml:space="preserve">Sony </v>
      </c>
      <c r="S6" s="10" t="str">
        <f t="shared" si="6"/>
        <v xml:space="preserve"> Entertainment</v>
      </c>
      <c r="U6" s="10" t="s">
        <v>13</v>
      </c>
      <c r="V6" s="10" t="str">
        <f t="shared" si="7"/>
        <v>Sony Entertzinment</v>
      </c>
      <c r="W6" s="10" t="str">
        <f t="shared" si="8"/>
        <v>Sony Enzt</v>
      </c>
      <c r="Y6" s="10" t="s">
        <v>80</v>
      </c>
      <c r="Z6" s="10" t="s">
        <v>81</v>
      </c>
      <c r="AA6" s="15">
        <v>3</v>
      </c>
      <c r="AB6" s="10">
        <f t="shared" si="9"/>
        <v>3</v>
      </c>
      <c r="AC6" s="10">
        <f t="shared" si="10"/>
        <v>1</v>
      </c>
      <c r="AD6" s="10">
        <f t="shared" si="11"/>
        <v>1900</v>
      </c>
      <c r="AE6" s="16">
        <f t="shared" si="12"/>
        <v>3</v>
      </c>
      <c r="AF6" s="10">
        <f t="shared" si="13"/>
        <v>3</v>
      </c>
      <c r="AG6" s="10">
        <f t="shared" si="14"/>
        <v>1</v>
      </c>
      <c r="AJ6" s="10" t="s">
        <v>103</v>
      </c>
      <c r="AK6" s="18">
        <v>45730</v>
      </c>
      <c r="AL6" s="10">
        <v>6</v>
      </c>
      <c r="AM6" s="15">
        <f t="shared" si="15"/>
        <v>45736</v>
      </c>
      <c r="AP6" s="10" t="s">
        <v>103</v>
      </c>
      <c r="AQ6" s="18">
        <v>45730</v>
      </c>
      <c r="AR6" s="10">
        <v>6</v>
      </c>
      <c r="AS6" s="15">
        <f t="array" ref="AS6">EDATE(AQ6,AR6)</f>
        <v>45914</v>
      </c>
      <c r="AV6" s="10" t="s">
        <v>103</v>
      </c>
      <c r="AW6" s="18">
        <v>45730</v>
      </c>
      <c r="AX6" s="10">
        <v>6</v>
      </c>
      <c r="AY6" s="18">
        <f t="shared" si="16"/>
        <v>47921</v>
      </c>
    </row>
    <row r="7" spans="1:54" x14ac:dyDescent="0.25">
      <c r="A7" s="7">
        <v>50</v>
      </c>
      <c r="C7" s="8">
        <v>45536</v>
      </c>
      <c r="E7" s="9">
        <v>46.005000000000003</v>
      </c>
      <c r="G7" s="10" t="s">
        <v>57</v>
      </c>
      <c r="H7" s="10" t="str">
        <f t="shared" si="0"/>
        <v>May</v>
      </c>
      <c r="I7" s="10" t="str">
        <f t="shared" si="1"/>
        <v>May</v>
      </c>
      <c r="J7" s="10" t="str">
        <f t="shared" si="2"/>
        <v>ay</v>
      </c>
      <c r="M7" s="10" t="s">
        <v>57</v>
      </c>
      <c r="N7" s="10">
        <f t="shared" si="3"/>
        <v>2</v>
      </c>
      <c r="O7" s="10">
        <f t="shared" si="4"/>
        <v>2</v>
      </c>
      <c r="Q7" s="10" t="s">
        <v>15</v>
      </c>
      <c r="R7" s="10" t="str">
        <f t="shared" si="5"/>
        <v xml:space="preserve">India </v>
      </c>
      <c r="S7" s="10" t="str">
        <f t="shared" si="6"/>
        <v xml:space="preserve"> Today Group</v>
      </c>
      <c r="U7" s="10" t="s">
        <v>15</v>
      </c>
      <c r="V7" s="10" t="str">
        <f t="shared" si="7"/>
        <v>Indiz Todzy Group</v>
      </c>
      <c r="W7" s="10" t="str">
        <f t="shared" si="8"/>
        <v>India Tz</v>
      </c>
      <c r="Y7" s="10" t="s">
        <v>82</v>
      </c>
      <c r="Z7" s="10" t="s">
        <v>83</v>
      </c>
      <c r="AA7" s="15">
        <v>9</v>
      </c>
      <c r="AB7" s="10">
        <f t="shared" si="9"/>
        <v>9</v>
      </c>
      <c r="AC7" s="10">
        <f t="shared" si="10"/>
        <v>1</v>
      </c>
      <c r="AD7" s="10">
        <f t="shared" si="11"/>
        <v>1900</v>
      </c>
      <c r="AE7" s="16">
        <f t="shared" si="12"/>
        <v>9</v>
      </c>
      <c r="AF7" s="10">
        <f t="shared" si="13"/>
        <v>2</v>
      </c>
      <c r="AG7" s="10">
        <f t="shared" si="14"/>
        <v>2</v>
      </c>
      <c r="AJ7" s="10" t="s">
        <v>106</v>
      </c>
      <c r="AK7" s="18">
        <v>45734</v>
      </c>
      <c r="AL7" s="10">
        <v>2</v>
      </c>
      <c r="AM7" s="15">
        <f t="shared" si="15"/>
        <v>45736</v>
      </c>
      <c r="AP7" s="10" t="s">
        <v>106</v>
      </c>
      <c r="AQ7" s="18">
        <v>45734</v>
      </c>
      <c r="AR7" s="10">
        <v>2</v>
      </c>
      <c r="AS7" s="15">
        <f t="array" ref="AS7">EDATE(AQ7,AR7)</f>
        <v>45795</v>
      </c>
      <c r="AV7" s="10" t="s">
        <v>106</v>
      </c>
      <c r="AW7" s="18">
        <v>45734</v>
      </c>
      <c r="AX7" s="10">
        <v>2</v>
      </c>
      <c r="AY7" s="18">
        <f t="shared" si="16"/>
        <v>46464</v>
      </c>
    </row>
    <row r="8" spans="1:54" x14ac:dyDescent="0.25">
      <c r="A8" s="7">
        <v>60</v>
      </c>
      <c r="C8" s="8">
        <v>45537</v>
      </c>
      <c r="E8" s="9">
        <v>48.215000000000003</v>
      </c>
      <c r="G8" s="10" t="s">
        <v>58</v>
      </c>
      <c r="H8" s="10" t="str">
        <f t="shared" si="0"/>
        <v>une</v>
      </c>
      <c r="I8" s="10" t="str">
        <f t="shared" si="1"/>
        <v>Jun</v>
      </c>
      <c r="J8" s="10" t="str">
        <f t="shared" si="2"/>
        <v>une</v>
      </c>
      <c r="M8" s="10" t="s">
        <v>58</v>
      </c>
      <c r="N8" s="10" t="e">
        <f t="shared" si="3"/>
        <v>#VALUE!</v>
      </c>
      <c r="O8" s="10" t="e">
        <f t="shared" si="4"/>
        <v>#VALUE!</v>
      </c>
      <c r="Q8" s="10" t="s">
        <v>17</v>
      </c>
      <c r="R8" s="10" t="str">
        <f t="shared" si="5"/>
        <v xml:space="preserve">Yash </v>
      </c>
      <c r="S8" s="10" t="str">
        <f t="shared" si="6"/>
        <v xml:space="preserve"> Raj Films</v>
      </c>
      <c r="U8" s="10" t="s">
        <v>17</v>
      </c>
      <c r="V8" s="10" t="str">
        <f t="shared" si="7"/>
        <v>Yzsh Rzj Films</v>
      </c>
      <c r="W8" s="10" t="str">
        <f t="shared" si="8"/>
        <v>Yash Raz</v>
      </c>
      <c r="Y8" s="10" t="s">
        <v>84</v>
      </c>
      <c r="Z8" s="10" t="s">
        <v>85</v>
      </c>
      <c r="AA8" s="15">
        <v>5</v>
      </c>
      <c r="AB8" s="10">
        <f t="shared" si="9"/>
        <v>5</v>
      </c>
      <c r="AC8" s="10">
        <f t="shared" si="10"/>
        <v>1</v>
      </c>
      <c r="AD8" s="10">
        <f t="shared" si="11"/>
        <v>1900</v>
      </c>
      <c r="AE8" s="16">
        <f t="shared" si="12"/>
        <v>5</v>
      </c>
      <c r="AF8" s="10">
        <f t="shared" si="13"/>
        <v>5</v>
      </c>
      <c r="AG8" s="10">
        <f t="shared" si="14"/>
        <v>1</v>
      </c>
      <c r="AJ8" s="10" t="s">
        <v>107</v>
      </c>
      <c r="AK8" s="18">
        <v>45736</v>
      </c>
      <c r="AL8" s="10">
        <v>9</v>
      </c>
      <c r="AM8" s="15">
        <f t="shared" si="15"/>
        <v>45745</v>
      </c>
      <c r="AP8" s="10" t="s">
        <v>107</v>
      </c>
      <c r="AQ8" s="18">
        <v>45736</v>
      </c>
      <c r="AR8" s="10">
        <v>9</v>
      </c>
      <c r="AS8" s="15">
        <f t="array" ref="AS8">EDATE(AQ8,AR8)</f>
        <v>46011</v>
      </c>
      <c r="AV8" s="10" t="s">
        <v>107</v>
      </c>
      <c r="AW8" s="18">
        <v>45736</v>
      </c>
      <c r="AX8" s="10">
        <v>9</v>
      </c>
      <c r="AY8" s="18">
        <f t="shared" si="16"/>
        <v>49023</v>
      </c>
    </row>
    <row r="9" spans="1:54" x14ac:dyDescent="0.25">
      <c r="A9" s="7">
        <v>70</v>
      </c>
      <c r="C9" s="8">
        <v>45538</v>
      </c>
      <c r="E9" s="9">
        <v>50.424999999999997</v>
      </c>
      <c r="G9" s="10" t="s">
        <v>59</v>
      </c>
      <c r="H9" s="10" t="str">
        <f t="shared" si="0"/>
        <v>uly</v>
      </c>
      <c r="I9" s="10" t="str">
        <f t="shared" si="1"/>
        <v>Jul</v>
      </c>
      <c r="J9" s="10" t="str">
        <f t="shared" si="2"/>
        <v>uly</v>
      </c>
      <c r="M9" s="10" t="s">
        <v>59</v>
      </c>
      <c r="N9" s="10" t="e">
        <f t="shared" si="3"/>
        <v>#VALUE!</v>
      </c>
      <c r="O9" s="10" t="e">
        <f t="shared" si="4"/>
        <v>#VALUE!</v>
      </c>
      <c r="Q9" s="10" t="s">
        <v>19</v>
      </c>
      <c r="R9" s="10" t="str">
        <f t="shared" si="5"/>
        <v xml:space="preserve">Ajey </v>
      </c>
      <c r="S9" s="10" t="str">
        <f t="shared" si="6"/>
        <v xml:space="preserve"> Nagar</v>
      </c>
      <c r="U9" s="10" t="s">
        <v>19</v>
      </c>
      <c r="V9" s="10" t="str">
        <f t="shared" si="7"/>
        <v>Ajey Nzgzr</v>
      </c>
      <c r="W9" s="10" t="str">
        <f t="shared" si="8"/>
        <v>Ajey Naz</v>
      </c>
      <c r="Y9" s="10" t="s">
        <v>86</v>
      </c>
      <c r="Z9" s="10" t="s">
        <v>87</v>
      </c>
      <c r="AA9" s="15">
        <v>0</v>
      </c>
      <c r="AB9" s="10">
        <f t="shared" si="9"/>
        <v>0</v>
      </c>
      <c r="AC9" s="10">
        <f t="shared" si="10"/>
        <v>1</v>
      </c>
      <c r="AD9" s="10">
        <f t="shared" si="11"/>
        <v>1900</v>
      </c>
      <c r="AE9" s="16">
        <f t="shared" si="12"/>
        <v>0</v>
      </c>
      <c r="AF9" s="10">
        <f t="shared" si="13"/>
        <v>7</v>
      </c>
      <c r="AG9" s="10">
        <f t="shared" si="14"/>
        <v>0</v>
      </c>
      <c r="AJ9" s="10" t="s">
        <v>108</v>
      </c>
      <c r="AK9" s="18">
        <v>45738</v>
      </c>
      <c r="AL9" s="10">
        <v>6</v>
      </c>
      <c r="AM9" s="15">
        <f t="shared" si="15"/>
        <v>45744</v>
      </c>
      <c r="AP9" s="10" t="s">
        <v>108</v>
      </c>
      <c r="AQ9" s="18">
        <v>45738</v>
      </c>
      <c r="AR9" s="10">
        <v>6</v>
      </c>
      <c r="AS9" s="15">
        <f t="array" ref="AS9">EDATE(AQ9,AR9)</f>
        <v>45922</v>
      </c>
      <c r="AV9" s="10" t="s">
        <v>108</v>
      </c>
      <c r="AW9" s="18">
        <v>45738</v>
      </c>
      <c r="AX9" s="10">
        <v>6</v>
      </c>
      <c r="AY9" s="18">
        <f t="shared" si="16"/>
        <v>47929</v>
      </c>
    </row>
    <row r="10" spans="1:54" x14ac:dyDescent="0.25">
      <c r="A10" s="7">
        <v>80</v>
      </c>
      <c r="C10" s="8">
        <v>45539</v>
      </c>
      <c r="E10" s="9">
        <v>52.634999999999998</v>
      </c>
      <c r="G10" s="10" t="s">
        <v>60</v>
      </c>
      <c r="H10" s="10" t="str">
        <f t="shared" si="0"/>
        <v>ust</v>
      </c>
      <c r="I10" s="10" t="str">
        <f t="shared" si="1"/>
        <v>Aug</v>
      </c>
      <c r="J10" s="10" t="str">
        <f t="shared" si="2"/>
        <v>ugu</v>
      </c>
      <c r="M10" s="10" t="s">
        <v>60</v>
      </c>
      <c r="N10" s="10" t="e">
        <f t="shared" si="3"/>
        <v>#VALUE!</v>
      </c>
      <c r="O10" s="10">
        <f t="shared" si="4"/>
        <v>1</v>
      </c>
      <c r="Q10" s="10" t="s">
        <v>21</v>
      </c>
      <c r="R10" s="10" t="str">
        <f t="shared" si="5"/>
        <v xml:space="preserve">Ashish </v>
      </c>
      <c r="S10" s="10" t="str">
        <f t="shared" si="6"/>
        <v xml:space="preserve"> Chanchlani</v>
      </c>
      <c r="U10" s="10" t="s">
        <v>21</v>
      </c>
      <c r="V10" s="10" t="str">
        <f t="shared" si="7"/>
        <v>Ashish Chznchlzni</v>
      </c>
      <c r="W10" s="10" t="str">
        <f t="shared" si="8"/>
        <v>Ashish z</v>
      </c>
      <c r="Y10" s="10" t="s">
        <v>88</v>
      </c>
      <c r="Z10" s="10" t="s">
        <v>83</v>
      </c>
      <c r="AA10" s="15">
        <v>8</v>
      </c>
      <c r="AB10" s="10">
        <f t="shared" si="9"/>
        <v>8</v>
      </c>
      <c r="AC10" s="10">
        <f t="shared" si="10"/>
        <v>1</v>
      </c>
      <c r="AD10" s="10">
        <f t="shared" si="11"/>
        <v>1900</v>
      </c>
      <c r="AE10" s="16">
        <f t="shared" si="12"/>
        <v>8</v>
      </c>
      <c r="AF10" s="10">
        <f t="shared" si="13"/>
        <v>1</v>
      </c>
      <c r="AG10" s="10">
        <f t="shared" si="14"/>
        <v>2</v>
      </c>
      <c r="AJ10" s="10" t="s">
        <v>105</v>
      </c>
      <c r="AK10" s="18">
        <v>45739</v>
      </c>
      <c r="AL10" s="10">
        <v>4</v>
      </c>
      <c r="AM10" s="15">
        <f t="shared" si="15"/>
        <v>45743</v>
      </c>
      <c r="AP10" s="10" t="s">
        <v>105</v>
      </c>
      <c r="AQ10" s="18">
        <v>45739</v>
      </c>
      <c r="AR10" s="10">
        <v>4</v>
      </c>
      <c r="AS10" s="15">
        <f t="array" ref="AS10">EDATE(AQ10,AR10)</f>
        <v>45861</v>
      </c>
      <c r="AV10" s="10" t="s">
        <v>105</v>
      </c>
      <c r="AW10" s="18">
        <v>45739</v>
      </c>
      <c r="AX10" s="10">
        <v>4</v>
      </c>
      <c r="AY10" s="18">
        <f t="shared" si="16"/>
        <v>47200</v>
      </c>
    </row>
    <row r="11" spans="1:54" x14ac:dyDescent="0.25">
      <c r="A11" s="7">
        <v>90</v>
      </c>
      <c r="C11" s="8">
        <v>45540</v>
      </c>
      <c r="E11" s="9">
        <v>54.844999999999999</v>
      </c>
      <c r="G11" s="10" t="s">
        <v>61</v>
      </c>
      <c r="H11" s="10" t="str">
        <f t="shared" si="0"/>
        <v>ber</v>
      </c>
      <c r="I11" s="10" t="str">
        <f t="shared" si="1"/>
        <v>Sep</v>
      </c>
      <c r="J11" s="10" t="str">
        <f t="shared" si="2"/>
        <v>ept</v>
      </c>
      <c r="M11" s="10" t="s">
        <v>61</v>
      </c>
      <c r="N11" s="10" t="e">
        <f t="shared" si="3"/>
        <v>#VALUE!</v>
      </c>
      <c r="O11" s="10" t="e">
        <f t="shared" si="4"/>
        <v>#VALUE!</v>
      </c>
      <c r="Q11" s="10" t="s">
        <v>23</v>
      </c>
      <c r="R11" s="10" t="str">
        <f t="shared" si="5"/>
        <v xml:space="preserve">Bhuvan </v>
      </c>
      <c r="S11" s="10" t="str">
        <f t="shared" si="6"/>
        <v xml:space="preserve"> Bam</v>
      </c>
      <c r="U11" s="10" t="s">
        <v>23</v>
      </c>
      <c r="V11" s="10" t="str">
        <f t="shared" si="7"/>
        <v>Bhuvzn Bzm</v>
      </c>
      <c r="W11" s="10" t="str">
        <f t="shared" si="8"/>
        <v>Bhuvan z</v>
      </c>
      <c r="Y11" s="10" t="s">
        <v>89</v>
      </c>
      <c r="Z11" s="10" t="s">
        <v>90</v>
      </c>
      <c r="AA11" s="15">
        <v>2</v>
      </c>
      <c r="AB11" s="10">
        <f t="shared" si="9"/>
        <v>2</v>
      </c>
      <c r="AC11" s="10">
        <f t="shared" si="10"/>
        <v>1</v>
      </c>
      <c r="AD11" s="10">
        <f t="shared" si="11"/>
        <v>1900</v>
      </c>
      <c r="AE11" s="16">
        <f t="shared" si="12"/>
        <v>2</v>
      </c>
      <c r="AF11" s="10">
        <f t="shared" si="13"/>
        <v>2</v>
      </c>
      <c r="AG11" s="10">
        <f t="shared" si="14"/>
        <v>1</v>
      </c>
      <c r="AJ11" s="10" t="s">
        <v>109</v>
      </c>
      <c r="AK11" s="18">
        <v>45742</v>
      </c>
      <c r="AL11" s="10">
        <v>9</v>
      </c>
      <c r="AM11" s="15">
        <f t="shared" si="15"/>
        <v>45751</v>
      </c>
      <c r="AP11" s="10" t="s">
        <v>109</v>
      </c>
      <c r="AQ11" s="18">
        <v>45742</v>
      </c>
      <c r="AR11" s="10">
        <v>9</v>
      </c>
      <c r="AS11" s="15">
        <f t="array" ref="AS11">EDATE(AQ11,AR11)</f>
        <v>46017</v>
      </c>
      <c r="AV11" s="10" t="s">
        <v>109</v>
      </c>
      <c r="AW11" s="18">
        <v>45742</v>
      </c>
      <c r="AX11" s="10">
        <v>9</v>
      </c>
      <c r="AY11" s="18">
        <f t="shared" si="16"/>
        <v>49029</v>
      </c>
    </row>
    <row r="12" spans="1:54" x14ac:dyDescent="0.25">
      <c r="A12" s="7">
        <v>100</v>
      </c>
      <c r="C12" s="8">
        <v>45541</v>
      </c>
      <c r="E12" s="9">
        <v>57.055</v>
      </c>
      <c r="G12" s="10" t="s">
        <v>62</v>
      </c>
      <c r="H12" s="10" t="str">
        <f t="shared" si="0"/>
        <v>ber</v>
      </c>
      <c r="I12" s="10" t="str">
        <f t="shared" si="1"/>
        <v>Oct</v>
      </c>
      <c r="J12" s="10" t="str">
        <f t="shared" si="2"/>
        <v>cto</v>
      </c>
      <c r="M12" s="10" t="s">
        <v>62</v>
      </c>
      <c r="N12" s="10" t="e">
        <f t="shared" si="3"/>
        <v>#VALUE!</v>
      </c>
      <c r="O12" s="10" t="e">
        <f t="shared" si="4"/>
        <v>#VALUE!</v>
      </c>
      <c r="Q12" s="10" t="s">
        <v>25</v>
      </c>
      <c r="R12" s="10" t="str">
        <f t="shared" si="5"/>
        <v xml:space="preserve">Gaurav </v>
      </c>
      <c r="S12" s="10" t="str">
        <f t="shared" si="6"/>
        <v xml:space="preserve"> Chaudhary</v>
      </c>
      <c r="U12" s="10" t="s">
        <v>25</v>
      </c>
      <c r="V12" s="10" t="str">
        <f t="shared" si="7"/>
        <v>Gzurzv Chzudhzry</v>
      </c>
      <c r="W12" s="10" t="str">
        <f t="shared" si="8"/>
        <v>Gaurav z</v>
      </c>
      <c r="Y12" s="10" t="s">
        <v>91</v>
      </c>
      <c r="Z12" s="10" t="s">
        <v>92</v>
      </c>
      <c r="AA12" s="15">
        <v>9</v>
      </c>
      <c r="AB12" s="10">
        <f t="shared" si="9"/>
        <v>9</v>
      </c>
      <c r="AC12" s="10">
        <f t="shared" si="10"/>
        <v>1</v>
      </c>
      <c r="AD12" s="10">
        <f t="shared" si="11"/>
        <v>1900</v>
      </c>
      <c r="AE12" s="16">
        <f t="shared" si="12"/>
        <v>9</v>
      </c>
      <c r="AF12" s="10">
        <f t="shared" si="13"/>
        <v>2</v>
      </c>
      <c r="AG12" s="10">
        <f t="shared" si="14"/>
        <v>2</v>
      </c>
      <c r="AJ12" s="10" t="s">
        <v>103</v>
      </c>
      <c r="AK12" s="18">
        <v>45745</v>
      </c>
      <c r="AL12" s="10">
        <v>5</v>
      </c>
      <c r="AM12" s="15">
        <f t="shared" si="15"/>
        <v>45750</v>
      </c>
      <c r="AP12" s="10" t="s">
        <v>103</v>
      </c>
      <c r="AQ12" s="18">
        <v>45745</v>
      </c>
      <c r="AR12" s="10">
        <v>5</v>
      </c>
      <c r="AS12" s="15">
        <f t="array" ref="AS12">EDATE(AQ12,AR12)</f>
        <v>45898</v>
      </c>
      <c r="AV12" s="10" t="s">
        <v>103</v>
      </c>
      <c r="AW12" s="18">
        <v>45745</v>
      </c>
      <c r="AX12" s="10">
        <v>5</v>
      </c>
      <c r="AY12" s="18">
        <f t="shared" si="16"/>
        <v>47571</v>
      </c>
    </row>
    <row r="13" spans="1:54" x14ac:dyDescent="0.25">
      <c r="A13" s="7">
        <v>110</v>
      </c>
      <c r="C13" s="8">
        <v>45542</v>
      </c>
      <c r="E13" s="9">
        <v>59.265000000000001</v>
      </c>
      <c r="G13" s="10" t="s">
        <v>63</v>
      </c>
      <c r="H13" s="10" t="str">
        <f t="shared" si="0"/>
        <v>ber</v>
      </c>
      <c r="I13" s="10" t="str">
        <f t="shared" si="1"/>
        <v>Nov</v>
      </c>
      <c r="J13" s="10" t="str">
        <f t="shared" si="2"/>
        <v>ove</v>
      </c>
      <c r="M13" s="10" t="s">
        <v>63</v>
      </c>
      <c r="N13" s="10" t="e">
        <f t="shared" si="3"/>
        <v>#VALUE!</v>
      </c>
      <c r="O13" s="10" t="e">
        <f t="shared" si="4"/>
        <v>#VALUE!</v>
      </c>
      <c r="Q13" s="10" t="s">
        <v>27</v>
      </c>
      <c r="R13" s="10" t="str">
        <f t="shared" si="5"/>
        <v xml:space="preserve">Jimmy </v>
      </c>
      <c r="S13" s="10" t="str">
        <f t="shared" si="6"/>
        <v xml:space="preserve"> Donaldson</v>
      </c>
      <c r="U13" s="10" t="s">
        <v>27</v>
      </c>
      <c r="V13" s="10" t="str">
        <f t="shared" si="7"/>
        <v>Jimmy Donzldson</v>
      </c>
      <c r="W13" s="10" t="str">
        <f t="shared" si="8"/>
        <v>Jimmy Dz</v>
      </c>
      <c r="Y13" s="10" t="s">
        <v>93</v>
      </c>
      <c r="Z13" s="10" t="s">
        <v>94</v>
      </c>
      <c r="AA13" s="15">
        <v>1</v>
      </c>
      <c r="AB13" s="10">
        <f t="shared" si="9"/>
        <v>1</v>
      </c>
      <c r="AC13" s="10">
        <f t="shared" si="10"/>
        <v>1</v>
      </c>
      <c r="AD13" s="10">
        <f t="shared" si="11"/>
        <v>1900</v>
      </c>
      <c r="AE13" s="16">
        <f t="shared" si="12"/>
        <v>1</v>
      </c>
      <c r="AF13" s="10">
        <f t="shared" si="13"/>
        <v>1</v>
      </c>
      <c r="AG13" s="10">
        <f t="shared" si="14"/>
        <v>1</v>
      </c>
      <c r="AJ13" s="10" t="s">
        <v>107</v>
      </c>
      <c r="AK13" s="18">
        <v>45746</v>
      </c>
      <c r="AL13" s="10">
        <v>1</v>
      </c>
      <c r="AM13" s="15">
        <f t="shared" si="15"/>
        <v>45747</v>
      </c>
      <c r="AP13" s="10" t="s">
        <v>107</v>
      </c>
      <c r="AQ13" s="18">
        <v>45746</v>
      </c>
      <c r="AR13" s="10">
        <v>1</v>
      </c>
      <c r="AS13" s="15">
        <f t="array" ref="AS13">EDATE(AQ13,AR13)</f>
        <v>45777</v>
      </c>
      <c r="AV13" s="10" t="s">
        <v>107</v>
      </c>
      <c r="AW13" s="18">
        <v>45746</v>
      </c>
      <c r="AX13" s="10">
        <v>1</v>
      </c>
      <c r="AY13" s="18">
        <f t="shared" si="16"/>
        <v>46111</v>
      </c>
    </row>
    <row r="14" spans="1:54" x14ac:dyDescent="0.25">
      <c r="A14" s="7">
        <v>120</v>
      </c>
      <c r="C14" s="8">
        <v>45543</v>
      </c>
      <c r="G14" s="10" t="s">
        <v>64</v>
      </c>
      <c r="H14" s="10" t="str">
        <f t="shared" si="0"/>
        <v>ber</v>
      </c>
      <c r="I14" s="10" t="str">
        <f t="shared" si="1"/>
        <v>Dec</v>
      </c>
      <c r="J14" s="10" t="str">
        <f t="shared" si="2"/>
        <v>ece</v>
      </c>
      <c r="M14" s="10" t="s">
        <v>64</v>
      </c>
      <c r="N14" s="10" t="e">
        <f t="shared" si="3"/>
        <v>#VALUE!</v>
      </c>
      <c r="O14" s="10" t="e">
        <f t="shared" si="4"/>
        <v>#VALUE!</v>
      </c>
      <c r="Q14" s="10" t="s">
        <v>29</v>
      </c>
      <c r="R14" s="10" t="str">
        <f t="shared" si="5"/>
        <v xml:space="preserve">Felix </v>
      </c>
      <c r="S14" s="10" t="str">
        <f t="shared" si="6"/>
        <v xml:space="preserve"> Kjellberg</v>
      </c>
      <c r="U14" s="10" t="s">
        <v>29</v>
      </c>
      <c r="V14" s="10" t="str">
        <f t="shared" si="7"/>
        <v>Felix Kjellberg</v>
      </c>
      <c r="W14" s="10" t="str">
        <f t="shared" si="8"/>
        <v>Felix Kz</v>
      </c>
      <c r="Y14" s="10" t="s">
        <v>78</v>
      </c>
      <c r="Z14" s="10" t="s">
        <v>92</v>
      </c>
      <c r="AA14" s="15">
        <v>1</v>
      </c>
      <c r="AB14" s="10">
        <f t="shared" si="9"/>
        <v>1</v>
      </c>
      <c r="AC14" s="10">
        <f t="shared" si="10"/>
        <v>1</v>
      </c>
      <c r="AD14" s="10">
        <f t="shared" si="11"/>
        <v>1900</v>
      </c>
      <c r="AE14" s="16">
        <f t="shared" si="12"/>
        <v>1</v>
      </c>
      <c r="AF14" s="10">
        <f t="shared" si="13"/>
        <v>1</v>
      </c>
      <c r="AG14" s="10">
        <f t="shared" si="14"/>
        <v>1</v>
      </c>
      <c r="AJ14" s="10" t="s">
        <v>105</v>
      </c>
      <c r="AK14" s="18">
        <v>45747</v>
      </c>
      <c r="AL14" s="10">
        <v>5</v>
      </c>
      <c r="AM14" s="15">
        <f t="shared" si="15"/>
        <v>45752</v>
      </c>
      <c r="AP14" s="10" t="s">
        <v>105</v>
      </c>
      <c r="AQ14" s="18">
        <v>45747</v>
      </c>
      <c r="AR14" s="10">
        <v>5</v>
      </c>
      <c r="AS14" s="15">
        <f t="array" ref="AS14">EDATE(AQ14,AR14)</f>
        <v>45900</v>
      </c>
      <c r="AV14" s="10" t="s">
        <v>105</v>
      </c>
      <c r="AW14" s="18">
        <v>45747</v>
      </c>
      <c r="AX14" s="10">
        <v>5</v>
      </c>
      <c r="AY14" s="18">
        <f t="shared" si="16"/>
        <v>47573</v>
      </c>
    </row>
    <row r="15" spans="1:54" ht="15.75" x14ac:dyDescent="0.25">
      <c r="A15" s="7">
        <v>130</v>
      </c>
      <c r="C15" s="8">
        <v>45544</v>
      </c>
      <c r="Q15" s="12"/>
    </row>
    <row r="16" spans="1:54" ht="15.75" x14ac:dyDescent="0.25">
      <c r="Q16" s="12"/>
    </row>
    <row r="17" spans="17:17" ht="15.75" x14ac:dyDescent="0.25">
      <c r="Q17" s="12"/>
    </row>
    <row r="18" spans="17:17" ht="15.75" x14ac:dyDescent="0.25">
      <c r="Q18" s="14"/>
    </row>
    <row r="19" spans="17:17" ht="15.75" x14ac:dyDescent="0.25">
      <c r="Q19" s="12"/>
    </row>
    <row r="20" spans="17:17" ht="15.75" x14ac:dyDescent="0.25">
      <c r="Q20" s="12"/>
    </row>
    <row r="21" spans="17:17" ht="15.75" x14ac:dyDescent="0.25">
      <c r="Q21" s="12"/>
    </row>
    <row r="22" spans="17:17" ht="15.75" x14ac:dyDescent="0.25">
      <c r="Q22" s="12"/>
    </row>
    <row r="23" spans="17:17" x14ac:dyDescent="0.25">
      <c r="Q23" s="13"/>
    </row>
    <row r="24" spans="17:17" x14ac:dyDescent="0.25">
      <c r="Q24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Find, Replace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Ayushi Singh</cp:lastModifiedBy>
  <cp:revision/>
  <dcterms:created xsi:type="dcterms:W3CDTF">2015-06-05T18:17:20Z</dcterms:created>
  <dcterms:modified xsi:type="dcterms:W3CDTF">2025-10-30T06:10:47Z</dcterms:modified>
  <cp:category/>
  <cp:contentStatus/>
</cp:coreProperties>
</file>